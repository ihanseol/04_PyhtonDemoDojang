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02_지열공 - 방이동, 잠실푸르지오발라드, 9공 - 한일지하수\04_양수시험\"/>
    </mc:Choice>
  </mc:AlternateContent>
  <xr:revisionPtr revIDLastSave="0" documentId="13_ncr:1_{54D64DD0-77A7-4C10-8BE9-920A5D1A3FEF}" xr6:coauthVersionLast="47" xr6:coauthVersionMax="47" xr10:uidLastSave="{00000000-0000-0000-0000-000000000000}"/>
  <bookViews>
    <workbookView xWindow="1125" yWindow="1125" windowWidth="31095" windowHeight="19590" tabRatio="557" firstSheet="2" activeTab="1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  <sheet name="Step" sheetId="13" r:id="rId12"/>
    <sheet name="out" sheetId="14" r:id="rId13"/>
  </sheets>
  <functionGroups builtInGroupCount="19"/>
  <definedNames>
    <definedName name="baseTemp" localSheetId="10">'w1'!$C$7</definedName>
    <definedName name="EffectiveRadius">SkinFactor!$H$10</definedName>
    <definedName name="GoalSeekTarget" localSheetId="12">out!#REF!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12">out!$A$1:$I$101</definedName>
    <definedName name="_xlnm.Print_Area" localSheetId="11">Step!$A$1:$I$51</definedName>
    <definedName name="_xlnm.Print_Area" localSheetId="5">StepTest!$A$1:$I$51</definedName>
    <definedName name="_xlnm.Print_Titles" localSheetId="6">LongTest!$1:$9</definedName>
    <definedName name="_xlnm.Print_Titles" localSheetId="12">out!$1:$9</definedName>
    <definedName name="_xlnm.Print_Titles" localSheetId="11">Step!$3:$10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 localSheetId="11">Step!$A$3:$I$51</definedName>
    <definedName name="단계양수">StepTest!$A$3:$I$51</definedName>
    <definedName name="장기양수" localSheetId="12">out!$A$1:$I$101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6" i="11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N23" i="11"/>
  <c r="N20" i="11"/>
  <c r="M19" i="11"/>
  <c r="M18" i="11"/>
  <c r="M22" i="11"/>
  <c r="N19" i="11"/>
  <c r="L16" i="11"/>
  <c r="L17" i="11"/>
  <c r="N18" i="11"/>
  <c r="M17" i="11"/>
  <c r="L23" i="11"/>
  <c r="M16" i="11"/>
  <c r="L15" i="11"/>
  <c r="L14" i="11"/>
  <c r="N22" i="11"/>
  <c r="M21" i="11"/>
  <c r="M14" i="11"/>
  <c r="M20" i="11"/>
  <c r="L22" i="11"/>
  <c r="N16" i="11"/>
  <c r="M23" i="11"/>
  <c r="L20" i="11"/>
  <c r="L21" i="11"/>
  <c r="N21" i="11"/>
  <c r="L18" i="11"/>
  <c r="L19" i="11"/>
  <c r="N15" i="11"/>
  <c r="M15" i="11"/>
  <c r="N14" i="11"/>
  <c r="N17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C35" i="7" s="1"/>
  <c r="AC36" i="7" s="1"/>
  <c r="AC37" i="7" s="1"/>
  <c r="AC38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10" authorId="0" shapeId="0" xr:uid="{7EFF5725-26D3-458C-B9DB-48D75C6D5A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C46" authorId="0" shapeId="0" xr:uid="{EB7988BE-9594-48CB-AB6E-ED6F856C64B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<sst xmlns="http://schemas.openxmlformats.org/spreadsheetml/2006/main" count="1190" uniqueCount="275">
  <si>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</si>
  <si>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</si>
  <si>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</si>
  <si>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</si>
  <si>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</si>
  <si>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</si>
  <si>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</si>
  <si>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</si>
  <si>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</si>
  <si>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</si>
  <si>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</si>
  <si>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</si>
  <si>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</si>
  <si>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</si>
  <si>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</si>
  <si>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</si>
  <si>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</si>
  <si>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</si>
  <si>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</si>
  <si>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</si>
  <si>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</si>
  <si>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</si>
  <si>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</si>
  <si>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</si>
  <si>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</si>
  <si>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</si>
  <si>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</si>
  <si>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</si>
  <si>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</si>
  <si>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</si>
  <si>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</si>
  <si>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</si>
  <si>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</si>
  <si>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</si>
  <si>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</si>
  <si>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</si>
  <si>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</si>
  <si>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</si>
  <si>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</si>
  <si>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</si>
  <si>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</si>
  <si>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</si>
  <si>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</si>
  <si>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</si>
  <si>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</si>
  <si>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</si>
  <si>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</si>
  <si>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</si>
  <si>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</si>
  <si>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</si>
  <si>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</si>
  <si>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</si>
  <si>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</si>
  <si>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</si>
  <si>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</si>
  <si>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</si>
  <si>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</si>
  <si>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</si>
  <si>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</si>
  <si>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</si>
  <si>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</si>
  <si>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</si>
  <si>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</si>
  <si>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</si>
  <si>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</si>
  <si>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</si>
  <si>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</si>
  <si>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</si>
  <si>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</si>
  <si>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</si>
  <si>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</si>
  <si>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</si>
  <si>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</si>
  <si>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</si>
  <si>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</si>
  <si>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</si>
  <si>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</si>
  <si>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</si>
  <si>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</si>
  <si>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</si>
  <si>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</si>
  <si>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</si>
  <si>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</si>
  <si>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</si>
  <si>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</si>
  <si>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</si>
  <si>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</si>
  <si>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</si>
  <si>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</si>
  <si>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</si>
  <si>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</si>
  <si>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</si>
  <si>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</si>
  <si>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</si>
  <si>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</si>
  <si>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</si>
  <si>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</si>
  <si>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</si>
  <si>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</si>
  <si>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</si>
  <si>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</si>
  <si>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</si>
  <si>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</si>
  <si>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</si>
  <si>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</si>
  <si>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</si>
  <si>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</si>
  <si>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</si>
  <si>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</si>
  <si>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</si>
  <si>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</si>
  <si>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</si>
  <si>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</si>
  <si>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</si>
  <si>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</si>
  <si>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</si>
  <si>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</si>
  <si>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</si>
  <si>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</si>
  <si>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</si>
  <si>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</si>
  <si>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</si>
  <si>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</si>
  <si>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</si>
  <si>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</si>
  <si>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</si>
  <si>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</si>
  <si>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</si>
  <si>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</si>
  <si>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</si>
  <si>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</si>
  <si>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</si>
  <si>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</si>
  <si>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</si>
  <si>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</si>
  <si>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</si>
  <si>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</si>
  <si>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</si>
  <si>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</si>
  <si>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</si>
  <si>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</si>
  <si>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</si>
  <si>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</si>
  <si>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</si>
  <si>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</si>
  <si>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</si>
  <si>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</si>
  <si>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</si>
  <si>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</si>
  <si>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</si>
  <si>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</si>
  <si>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</si>
  <si>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</si>
  <si>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</si>
  <si>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</si>
  <si>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</si>
  <si>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</si>
  <si>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</si>
  <si>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</si>
  <si>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</si>
  <si>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</si>
  <si>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</si>
  <si>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</si>
  <si>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</si>
  <si>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</si>
  <si>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</si>
  <si>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</si>
  <si>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</si>
  <si>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</si>
  <si>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</si>
  <si>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</si>
  <si>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</si>
  <si>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</si>
  <si>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</si>
  <si>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</si>
  <si>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</si>
  <si>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</si>
  <si>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</si>
  <si>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</si>
  <si>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</si>
  <si>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</si>
  <si>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</si>
  <si>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</si>
  <si>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</si>
  <si>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</si>
  <si>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</si>
  <si>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</si>
  <si>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</si>
  <si>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</si>
  <si>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</si>
  <si>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</si>
  <si>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</si>
  <si>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</si>
  <si>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</si>
  <si>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</si>
  <si>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</si>
  <si>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</si>
  <si>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</si>
  <si>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</si>
  <si>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</si>
  <si>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</si>
  <si>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</si>
  <si>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</si>
  <si>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</si>
  <si>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</si>
  <si>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</si>
  <si>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</si>
  <si>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</si>
  <si>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</si>
  <si>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</si>
  <si>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</si>
  <si>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</si>
  <si>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</si>
  <si>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</si>
  <si>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</si>
  <si>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</si>
  <si>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</si>
  <si>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</si>
  <si>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</si>
  <si>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</si>
  <si>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</si>
  <si>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</si>
  <si>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</si>
  <si>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</si>
  <si>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</si>
  <si>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</si>
  <si>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</si>
  <si>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</si>
  <si>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</si>
  <si>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</si>
  <si>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</si>
  <si>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</si>
  <si>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</si>
  <si>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</si>
  <si>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</si>
  <si>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</si>
  <si>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</si>
  <si>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</si>
  <si>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</si>
  <si>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</si>
  <si>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</si>
  <si>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</si>
  <si>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</si>
  <si>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</si>
  <si>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</si>
  <si>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</si>
  <si>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</si>
  <si>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</si>
  <si>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</si>
  <si>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</si>
  <si>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</si>
  <si>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</si>
  <si>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</si>
  <si>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</si>
  <si>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서울특별시 송파구 방이동 28-3</t>
    <phoneticPr fontId="8" type="noConversion"/>
  </si>
  <si>
    <t>잠실 푸르지오 발라드 신축현장 지열시스템공사</t>
    <phoneticPr fontId="8" type="noConversion"/>
  </si>
  <si>
    <t>잠실 푸르지오 발라드</t>
    <phoneticPr fontId="8" type="noConversion"/>
  </si>
  <si>
    <t>공  번 : W - 3</t>
  </si>
  <si>
    <t>W-3</t>
    <phoneticPr fontId="8" type="noConversion"/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</si>
  <si>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</si>
  <si>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</si>
  <si>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</si>
  <si>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</si>
  <si>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</si>
  <si>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잠실 푸르지오 발라드 신축현장 지열시스템공사</t>
  </si>
  <si>
    <t>잠실 푸르지오 발라드</t>
  </si>
  <si>
    <t>서울특별시 송파구 방이동 28-3</t>
  </si>
  <si>
    <t>조 사 명</t>
  </si>
  <si>
    <t>지 구 명</t>
  </si>
  <si>
    <t>위    치</t>
  </si>
  <si>
    <t>조 사 자</t>
  </si>
  <si>
    <t>직     경</t>
  </si>
  <si>
    <t>온도( ℃ )</t>
  </si>
  <si>
    <t>EC (μs/㎝)</t>
  </si>
  <si>
    <t>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</si>
</sst>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39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51" fillId="0" borderId="0" xfId="3" applyFont="1" applyFill="1" applyAlignment="1">
      <alignment horizontal="centerContinuous" vertical="center"/>
    </xf>
    <xf numFmtId="0" fontId="52" fillId="0" borderId="0" xfId="3" applyFont="1" applyFill="1" applyAlignment="1">
      <alignment horizontal="centerContinuous" vertical="center"/>
    </xf>
    <xf numFmtId="0" fontId="17" fillId="0" borderId="1" xfId="3" applyFont="1" applyFill="1" applyBorder="1" applyAlignment="1">
      <alignment horizontal="centerContinuous" vertical="center"/>
    </xf>
    <xf numFmtId="0" fontId="17" fillId="0" borderId="2" xfId="3" applyFont="1" applyFill="1" applyBorder="1" applyAlignment="1">
      <alignment horizontal="left" vertical="center"/>
    </xf>
    <xf numFmtId="0" fontId="17" fillId="0" borderId="6" xfId="3" applyFont="1" applyFill="1" applyBorder="1" applyAlignment="1">
      <alignment vertical="center"/>
    </xf>
    <xf numFmtId="0" fontId="17" fillId="0" borderId="6" xfId="3" applyFont="1" applyFill="1" applyBorder="1" applyAlignment="1">
      <alignment horizontal="right" vertical="center"/>
    </xf>
    <xf numFmtId="0" fontId="17" fillId="0" borderId="6" xfId="3" applyFont="1" applyFill="1" applyBorder="1" applyAlignment="1">
      <alignment horizontal="centerContinuous" vertical="center"/>
    </xf>
    <xf numFmtId="0" fontId="17" fillId="0" borderId="2" xfId="3" applyFont="1" applyFill="1" applyBorder="1" applyAlignment="1">
      <alignment vertical="center"/>
    </xf>
    <xf numFmtId="0" fontId="17" fillId="0" borderId="0" xfId="3" applyFont="1" applyFill="1" applyAlignment="1">
      <alignment vertical="center"/>
    </xf>
    <xf numFmtId="0" fontId="53" fillId="0" borderId="6" xfId="3" applyFont="1" applyFill="1" applyBorder="1" applyAlignment="1">
      <alignment horizontal="center" vertical="center"/>
    </xf>
    <xf numFmtId="187" fontId="53" fillId="0" borderId="7" xfId="3" applyNumberFormat="1" applyFont="1" applyFill="1" applyBorder="1" applyAlignment="1">
      <alignment horizontal="centerContinuous" vertical="center"/>
    </xf>
    <xf numFmtId="211" fontId="17" fillId="0" borderId="1" xfId="3" applyNumberFormat="1" applyFont="1" applyFill="1" applyBorder="1" applyAlignment="1">
      <alignment horizontal="left" vertical="center"/>
    </xf>
    <xf numFmtId="211" fontId="17" fillId="0" borderId="2" xfId="3" applyNumberFormat="1" applyFont="1" applyFill="1" applyBorder="1" applyAlignment="1">
      <alignment horizontal="left" vertical="center"/>
    </xf>
    <xf numFmtId="212" fontId="17" fillId="0" borderId="1" xfId="3" applyNumberFormat="1" applyFont="1" applyFill="1" applyBorder="1" applyAlignment="1">
      <alignment horizontal="center" vertical="center"/>
    </xf>
    <xf numFmtId="203" fontId="17" fillId="0" borderId="2" xfId="3" applyNumberFormat="1" applyFont="1" applyFill="1" applyBorder="1" applyAlignment="1">
      <alignment horizontal="center" vertical="center"/>
    </xf>
    <xf numFmtId="0" fontId="17" fillId="0" borderId="7" xfId="3" applyFont="1" applyFill="1" applyBorder="1" applyAlignment="1">
      <alignment vertical="center"/>
    </xf>
    <xf numFmtId="0" fontId="17" fillId="0" borderId="1" xfId="3" applyFont="1" applyFill="1" applyBorder="1" applyAlignment="1">
      <alignment horizontal="center" vertical="center"/>
    </xf>
    <xf numFmtId="204" fontId="17" fillId="0" borderId="1" xfId="3" applyNumberFormat="1" applyFont="1" applyFill="1" applyBorder="1" applyAlignment="1">
      <alignment horizontal="right" vertical="center"/>
    </xf>
    <xf numFmtId="202" fontId="17" fillId="0" borderId="1" xfId="3" applyNumberFormat="1" applyFont="1" applyFill="1" applyBorder="1" applyAlignment="1">
      <alignment horizontal="center" vertical="center"/>
    </xf>
    <xf numFmtId="205" fontId="17" fillId="0" borderId="2" xfId="3" applyNumberFormat="1" applyFont="1" applyFill="1" applyBorder="1" applyAlignment="1">
      <alignment horizontal="center" vertical="center"/>
    </xf>
    <xf numFmtId="205" fontId="17" fillId="0" borderId="1" xfId="3" applyNumberFormat="1" applyFont="1" applyFill="1" applyBorder="1" applyAlignment="1">
      <alignment horizontal="right" vertical="center"/>
    </xf>
    <xf numFmtId="0" fontId="17" fillId="0" borderId="1" xfId="3" applyFont="1" applyFill="1" applyBorder="1" applyAlignment="1">
      <alignment horizontal="center" vertical="center" wrapText="1"/>
    </xf>
    <xf numFmtId="0" fontId="17" fillId="0" borderId="1" xfId="3" applyFont="1" applyFill="1" applyBorder="1" applyAlignment="1">
      <alignment horizontal="center" vertical="center" wrapText="1"/>
    </xf>
    <xf numFmtId="0" fontId="17" fillId="0" borderId="1" xfId="3" applyFont="1" applyFill="1" applyBorder="1" applyAlignment="1">
      <alignment vertical="center"/>
    </xf>
    <xf numFmtId="1" fontId="17" fillId="0" borderId="1" xfId="3" applyNumberFormat="1" applyFont="1" applyFill="1" applyBorder="1" applyAlignment="1">
      <alignment vertical="center"/>
    </xf>
    <xf numFmtId="202" fontId="17" fillId="0" borderId="1" xfId="3" applyNumberFormat="1" applyFont="1" applyFill="1" applyBorder="1" applyAlignment="1">
      <alignment vertical="center"/>
    </xf>
    <xf numFmtId="210" fontId="17" fillId="0" borderId="2" xfId="3" applyNumberFormat="1" applyFont="1" applyFill="1" applyBorder="1" applyAlignment="1">
      <alignment horizontal="right" vertical="center"/>
    </xf>
    <xf numFmtId="196" fontId="17" fillId="0" borderId="1" xfId="3" applyNumberFormat="1" applyFont="1" applyFill="1" applyBorder="1" applyAlignment="1">
      <alignment vertical="center"/>
    </xf>
    <xf numFmtId="0" fontId="52" fillId="0" borderId="0" xfId="3" applyNumberFormat="1" applyFont="1" applyFill="1" applyAlignment="1">
      <alignment horizontal="centerContinuous" vertical="center"/>
    </xf>
    <xf numFmtId="0" fontId="17" fillId="0" borderId="6" xfId="3" applyNumberFormat="1" applyFont="1" applyFill="1" applyBorder="1" applyAlignment="1">
      <alignment vertical="center"/>
    </xf>
    <xf numFmtId="0" fontId="17" fillId="0" borderId="7" xfId="3" applyNumberFormat="1" applyFont="1" applyFill="1" applyBorder="1" applyAlignment="1">
      <alignment horizontal="center" vertical="center"/>
    </xf>
    <xf numFmtId="0" fontId="17" fillId="0" borderId="6" xfId="3" applyNumberFormat="1" applyFont="1" applyFill="1" applyBorder="1" applyAlignment="1">
      <alignment horizontal="centerContinuous" vertical="center"/>
    </xf>
    <xf numFmtId="0" fontId="17" fillId="0" borderId="7" xfId="3" applyNumberFormat="1" applyFont="1" applyFill="1" applyBorder="1" applyAlignment="1">
      <alignment horizontal="centerContinuous" vertical="center"/>
    </xf>
    <xf numFmtId="0" fontId="53" fillId="0" borderId="1" xfId="3" applyNumberFormat="1" applyFont="1" applyFill="1" applyBorder="1" applyAlignment="1">
      <alignment horizontal="centerContinuous" vertical="center"/>
    </xf>
    <xf numFmtId="0" fontId="17" fillId="0" borderId="1" xfId="3" applyNumberFormat="1" applyFont="1" applyFill="1" applyBorder="1" applyAlignment="1">
      <alignment horizontal="centerContinuous" vertical="center"/>
    </xf>
    <xf numFmtId="0" fontId="17" fillId="0" borderId="1" xfId="3" applyNumberFormat="1" applyFont="1" applyFill="1" applyBorder="1" applyAlignment="1">
      <alignment horizontal="center" vertical="center"/>
    </xf>
    <xf numFmtId="0" fontId="17" fillId="0" borderId="1" xfId="3" applyNumberFormat="1" applyFont="1" applyFill="1" applyBorder="1" applyAlignment="1">
      <alignment vertical="center"/>
    </xf>
    <xf numFmtId="0" fontId="17" fillId="0" borderId="1" xfId="3" applyNumberFormat="1" applyFont="1" applyFill="1" applyBorder="1" applyAlignment="1">
      <alignment horizontal="center" vertical="center"/>
    </xf>
    <xf numFmtId="0" fontId="37" fillId="0" borderId="0" xfId="3" applyNumberFormat="1" applyFont="1" applyAlignment="1">
      <alignment vertical="center"/>
    </xf>
    <xf numFmtId="0" fontId="37" fillId="0" borderId="0" xfId="3" applyNumberFormat="1" applyFont="1"/>
    <xf numFmtId="0" fontId="37" fillId="0" borderId="0" xfId="3" applyNumberFormat="1" applyFont="1" applyAlignment="1">
      <alignment horizont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2.38</c:v>
                </c:pt>
                <c:pt idx="4">
                  <c:v>2.6</c:v>
                </c:pt>
                <c:pt idx="5">
                  <c:v>3.29</c:v>
                </c:pt>
                <c:pt idx="6">
                  <c:v>3.69</c:v>
                </c:pt>
                <c:pt idx="7">
                  <c:v>3.98</c:v>
                </c:pt>
                <c:pt idx="8">
                  <c:v>4.2</c:v>
                </c:pt>
                <c:pt idx="9">
                  <c:v>4.38</c:v>
                </c:pt>
                <c:pt idx="10">
                  <c:v>4.53</c:v>
                </c:pt>
                <c:pt idx="11">
                  <c:v>4.66</c:v>
                </c:pt>
                <c:pt idx="12">
                  <c:v>4.78</c:v>
                </c:pt>
                <c:pt idx="13">
                  <c:v>4.8899999999999997</c:v>
                </c:pt>
                <c:pt idx="14">
                  <c:v>4.9800000000000004</c:v>
                </c:pt>
                <c:pt idx="15">
                  <c:v>5.07</c:v>
                </c:pt>
                <c:pt idx="16">
                  <c:v>5.29</c:v>
                </c:pt>
                <c:pt idx="17">
                  <c:v>5.47</c:v>
                </c:pt>
                <c:pt idx="18">
                  <c:v>5.62</c:v>
                </c:pt>
                <c:pt idx="19">
                  <c:v>5.76</c:v>
                </c:pt>
                <c:pt idx="20" formatCode="\ 0.00\ ">
                  <c:v>5.92</c:v>
                </c:pt>
                <c:pt idx="21" formatCode="\ 0.00\ ">
                  <c:v>6.07</c:v>
                </c:pt>
                <c:pt idx="22" formatCode="\ 0.00\ ">
                  <c:v>6.21</c:v>
                </c:pt>
                <c:pt idx="23" formatCode="\ 0.00\ ">
                  <c:v>6.34</c:v>
                </c:pt>
                <c:pt idx="24" formatCode="\ 0.00\ ">
                  <c:v>6.47</c:v>
                </c:pt>
                <c:pt idx="25">
                  <c:v>6.91</c:v>
                </c:pt>
                <c:pt idx="26" formatCode="\ 0.00\ ">
                  <c:v>7.0200000000000005</c:v>
                </c:pt>
                <c:pt idx="27">
                  <c:v>7.1</c:v>
                </c:pt>
                <c:pt idx="28" formatCode="\ 0.00\ ">
                  <c:v>7.1999999999999993</c:v>
                </c:pt>
                <c:pt idx="29">
                  <c:v>7.29</c:v>
                </c:pt>
                <c:pt idx="30" formatCode="\ 0.00\ ">
                  <c:v>7.35</c:v>
                </c:pt>
                <c:pt idx="31" formatCode="\ 0.00\ ">
                  <c:v>7.3999999999999995</c:v>
                </c:pt>
                <c:pt idx="32" formatCode="\ 0.00\ ">
                  <c:v>7.4399999999999995</c:v>
                </c:pt>
                <c:pt idx="33" formatCode="\ 0.00\ ">
                  <c:v>7.47</c:v>
                </c:pt>
                <c:pt idx="34" formatCode="\ 0.00\ ">
                  <c:v>7.4899999999999993</c:v>
                </c:pt>
                <c:pt idx="35">
                  <c:v>7.48</c:v>
                </c:pt>
                <c:pt idx="36" formatCode="\ 0.00\ ">
                  <c:v>7.5500000000000007</c:v>
                </c:pt>
                <c:pt idx="37" formatCode="\ 0.00\ ">
                  <c:v>7.61</c:v>
                </c:pt>
                <c:pt idx="38" formatCode="\ 0.00\ ">
                  <c:v>7.66</c:v>
                </c:pt>
                <c:pt idx="39">
                  <c:v>7.68</c:v>
                </c:pt>
                <c:pt idx="40" formatCode="\ 0.00\ ">
                  <c:v>7.8599999999999994</c:v>
                </c:pt>
                <c:pt idx="41" formatCode="\ 0.00\ ">
                  <c:v>8.02</c:v>
                </c:pt>
                <c:pt idx="42" formatCode="\ 0.00\ ">
                  <c:v>8.17</c:v>
                </c:pt>
                <c:pt idx="43" formatCode="\ 0.00\ ">
                  <c:v>8.31</c:v>
                </c:pt>
                <c:pt idx="44" formatCode="\ 0.00\ ">
                  <c:v>8.4400000000000013</c:v>
                </c:pt>
                <c:pt idx="45">
                  <c:v>8.9700000000000006</c:v>
                </c:pt>
                <c:pt idx="46" formatCode="\ 0.00\ ">
                  <c:v>9.08</c:v>
                </c:pt>
                <c:pt idx="47">
                  <c:v>9.19</c:v>
                </c:pt>
                <c:pt idx="48" formatCode="\ 0.00\ ">
                  <c:v>9.2999999999999989</c:v>
                </c:pt>
                <c:pt idx="49">
                  <c:v>9.4</c:v>
                </c:pt>
                <c:pt idx="50" formatCode="\ 0.00\ ">
                  <c:v>9.4700000000000006</c:v>
                </c:pt>
                <c:pt idx="51" formatCode="\ 0.00\ ">
                  <c:v>9.5200000000000014</c:v>
                </c:pt>
                <c:pt idx="52" formatCode="\ 0.00\ ">
                  <c:v>9.56</c:v>
                </c:pt>
                <c:pt idx="53" formatCode="\ 0.00\ ">
                  <c:v>9.59</c:v>
                </c:pt>
                <c:pt idx="54" formatCode="\ 0.00\ ">
                  <c:v>9.61</c:v>
                </c:pt>
                <c:pt idx="55">
                  <c:v>9.6199999999999992</c:v>
                </c:pt>
                <c:pt idx="56" formatCode="\ 0.00\ ">
                  <c:v>9.6999999999999993</c:v>
                </c:pt>
                <c:pt idx="57" formatCode="\ 0.00\ ">
                  <c:v>9.76</c:v>
                </c:pt>
                <c:pt idx="58" formatCode="\ 0.00\ ">
                  <c:v>9.81</c:v>
                </c:pt>
                <c:pt idx="59">
                  <c:v>9.84</c:v>
                </c:pt>
                <c:pt idx="60" formatCode="\ 0.00\ ">
                  <c:v>10.029999999999999</c:v>
                </c:pt>
                <c:pt idx="61" formatCode="\ 0.00\ ">
                  <c:v>10.199999999999999</c:v>
                </c:pt>
                <c:pt idx="62" formatCode="\ 0.00\ ">
                  <c:v>10.36</c:v>
                </c:pt>
                <c:pt idx="63" formatCode="\ 0.00\ ">
                  <c:v>10.51</c:v>
                </c:pt>
                <c:pt idx="64" formatCode="\ 0.00\ ">
                  <c:v>10.65</c:v>
                </c:pt>
                <c:pt idx="65">
                  <c:v>11.28</c:v>
                </c:pt>
                <c:pt idx="66" formatCode="\ 0.00\ ">
                  <c:v>11.399999999999999</c:v>
                </c:pt>
                <c:pt idx="67" formatCode="\ 0.00\ ">
                  <c:v>11.52</c:v>
                </c:pt>
                <c:pt idx="68" formatCode="\ 0.00\ ">
                  <c:v>11.639999999999999</c:v>
                </c:pt>
                <c:pt idx="69" formatCode="\ 0.00\ ">
                  <c:v>11.76</c:v>
                </c:pt>
                <c:pt idx="70" formatCode="\ 0.00\ ">
                  <c:v>11.83</c:v>
                </c:pt>
                <c:pt idx="71" formatCode="\ 0.00\ ">
                  <c:v>11.88</c:v>
                </c:pt>
                <c:pt idx="72" formatCode="\ 0.00\ ">
                  <c:v>11.92</c:v>
                </c:pt>
                <c:pt idx="73" formatCode="\ 0.00\ ">
                  <c:v>11.95</c:v>
                </c:pt>
                <c:pt idx="74" formatCode="\ 0.00\ ">
                  <c:v>11.979999999999999</c:v>
                </c:pt>
                <c:pt idx="75" formatCode="\ 0.00\ ">
                  <c:v>12</c:v>
                </c:pt>
                <c:pt idx="76" formatCode="\ 0.00\ ">
                  <c:v>12.09</c:v>
                </c:pt>
                <c:pt idx="77" formatCode="\ 0.00\ ">
                  <c:v>12.16</c:v>
                </c:pt>
                <c:pt idx="78" formatCode="\ 0.00\ ">
                  <c:v>12.21</c:v>
                </c:pt>
                <c:pt idx="79" formatCode="\ 0.00\ ">
                  <c:v>12.25</c:v>
                </c:pt>
                <c:pt idx="80" formatCode="\ 0.00\ ">
                  <c:v>12.46</c:v>
                </c:pt>
                <c:pt idx="81" formatCode="\ 0.00\ ">
                  <c:v>12.65</c:v>
                </c:pt>
                <c:pt idx="82" formatCode="\ 0.00\ ">
                  <c:v>12.82</c:v>
                </c:pt>
                <c:pt idx="83" formatCode="\ 0.00\ ">
                  <c:v>12.98</c:v>
                </c:pt>
                <c:pt idx="84" formatCode="\ 0.00\ ">
                  <c:v>13.120000000000001</c:v>
                </c:pt>
                <c:pt idx="85" formatCode="\ 0.00\ ">
                  <c:v>13.71</c:v>
                </c:pt>
                <c:pt idx="86" formatCode="\ 0.00\ ">
                  <c:v>14.020000000000001</c:v>
                </c:pt>
                <c:pt idx="87" formatCode="\ 0.00\ ">
                  <c:v>14.26</c:v>
                </c:pt>
                <c:pt idx="88" formatCode="\ 0.00\ ">
                  <c:v>14.56</c:v>
                </c:pt>
                <c:pt idx="89" formatCode="\ 0.00\ ">
                  <c:v>14.81</c:v>
                </c:pt>
                <c:pt idx="90" formatCode="\ 0.00\ ">
                  <c:v>14.96</c:v>
                </c:pt>
                <c:pt idx="91" formatCode="\ 0.00\ ">
                  <c:v>15.090000000000002</c:v>
                </c:pt>
                <c:pt idx="92" formatCode="\ 0.00\ ">
                  <c:v>15.200000000000001</c:v>
                </c:pt>
                <c:pt idx="93" formatCode="\ 0.00\ ">
                  <c:v>15.280000000000001</c:v>
                </c:pt>
                <c:pt idx="94" formatCode="\ 0.00\ ">
                  <c:v>15.350000000000001</c:v>
                </c:pt>
                <c:pt idx="95" formatCode="\ 0.00\ ">
                  <c:v>15.36</c:v>
                </c:pt>
                <c:pt idx="96" formatCode="\ 0.00\ ">
                  <c:v>15.549999999999999</c:v>
                </c:pt>
                <c:pt idx="97" formatCode="\ 0.00\ ">
                  <c:v>15.709999999999999</c:v>
                </c:pt>
                <c:pt idx="98" formatCode="\ 0.00\ ">
                  <c:v>15.85</c:v>
                </c:pt>
                <c:pt idx="99" formatCode="\ 0.00\ ">
                  <c:v>15.92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34</c:v>
                </c:pt>
                <c:pt idx="1">
                  <c:v>43</c:v>
                </c:pt>
                <c:pt idx="2">
                  <c:v>52.699999999999996</c:v>
                </c:pt>
                <c:pt idx="3">
                  <c:v>62</c:v>
                </c:pt>
                <c:pt idx="4">
                  <c:v>71.3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0.16941176470588235</c:v>
                </c:pt>
                <c:pt idx="1">
                  <c:v>0.1786046511627907</c:v>
                </c:pt>
                <c:pt idx="2">
                  <c:v>0.18671726755218218</c:v>
                </c:pt>
                <c:pt idx="3">
                  <c:v>0.19758064516129031</c:v>
                </c:pt>
                <c:pt idx="4">
                  <c:v>0.22328190743338008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3.733333333333334"/>
          <c:min val="21.56666666666667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(㎥/day)(W-3)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.2166666666666668"/>
      </c:valAx>
      <c:valAx>
        <c:axId val="1"/>
        <c:scaling>
          <c:orientation val="minMax"/>
          <c:max val="0.24123862167587934"/>
          <c:min val="0.15145505046338309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2445892803124062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30</c:v>
                </c:pt>
                <c:pt idx="1">
                  <c:v>34</c:v>
                </c:pt>
                <c:pt idx="2">
                  <c:v>43</c:v>
                </c:pt>
                <c:pt idx="3">
                  <c:v>52.699999999999996</c:v>
                </c:pt>
                <c:pt idx="4">
                  <c:v>62</c:v>
                </c:pt>
                <c:pt idx="5">
                  <c:v>71.3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80.158634538152612</c:v>
                </c:pt>
                <c:pt idx="2">
                  <c:v>76.158684360110854</c:v>
                </c:pt>
                <c:pt idx="3">
                  <c:v>72.271793650894239</c:v>
                </c:pt>
                <c:pt idx="4">
                  <c:v>68.900352713988966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3.733333333333334"/>
          <c:min val="21.5666666666666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.2166666666666668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34</c:v>
                </c:pt>
                <c:pt idx="1">
                  <c:v>43</c:v>
                </c:pt>
                <c:pt idx="2">
                  <c:v>52.699999999999996</c:v>
                </c:pt>
                <c:pt idx="3">
                  <c:v>62</c:v>
                </c:pt>
                <c:pt idx="4">
                  <c:v>71.3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5.76</c:v>
                </c:pt>
                <c:pt idx="1">
                  <c:v>7.68</c:v>
                </c:pt>
                <c:pt idx="2">
                  <c:v>9.84</c:v>
                </c:pt>
                <c:pt idx="3">
                  <c:v>12.25</c:v>
                </c:pt>
                <c:pt idx="4">
                  <c:v>15.92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(Q)(W-3)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30</c:v>
                </c:pt>
                <c:pt idx="1">
                  <c:v>34</c:v>
                </c:pt>
                <c:pt idx="2">
                  <c:v>43</c:v>
                </c:pt>
                <c:pt idx="3">
                  <c:v>52.699999999999996</c:v>
                </c:pt>
                <c:pt idx="4">
                  <c:v>62</c:v>
                </c:pt>
                <c:pt idx="5">
                  <c:v>71.3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0.16941176470588235</c:v>
                </c:pt>
                <c:pt idx="2">
                  <c:v>0.1786046511627907</c:v>
                </c:pt>
                <c:pt idx="3">
                  <c:v>0.18671726755218218</c:v>
                </c:pt>
                <c:pt idx="4">
                  <c:v>0.19758064516129031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3.733333333333334"/>
          <c:min val="21.56666666666667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(㎥/day)(W-3)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.2166666666666668"/>
      </c:valAx>
      <c:valAx>
        <c:axId val="1"/>
        <c:scaling>
          <c:orientation val="minMax"/>
          <c:max val="0.24123862167587934"/>
          <c:min val="0.15145505046338309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2445892803124062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2.38</c:v>
                </c:pt>
                <c:pt idx="4">
                  <c:v>2.6</c:v>
                </c:pt>
                <c:pt idx="5">
                  <c:v>3.29</c:v>
                </c:pt>
                <c:pt idx="6">
                  <c:v>3.69</c:v>
                </c:pt>
                <c:pt idx="7">
                  <c:v>3.98</c:v>
                </c:pt>
                <c:pt idx="8">
                  <c:v>4.2</c:v>
                </c:pt>
                <c:pt idx="9">
                  <c:v>4.38</c:v>
                </c:pt>
                <c:pt idx="10">
                  <c:v>4.53</c:v>
                </c:pt>
                <c:pt idx="11">
                  <c:v>4.66</c:v>
                </c:pt>
                <c:pt idx="12">
                  <c:v>4.78</c:v>
                </c:pt>
                <c:pt idx="13">
                  <c:v>4.8899999999999997</c:v>
                </c:pt>
                <c:pt idx="14">
                  <c:v>4.9800000000000004</c:v>
                </c:pt>
                <c:pt idx="15">
                  <c:v>5.07</c:v>
                </c:pt>
                <c:pt idx="16">
                  <c:v>5.29</c:v>
                </c:pt>
                <c:pt idx="17">
                  <c:v>5.47</c:v>
                </c:pt>
                <c:pt idx="18">
                  <c:v>5.62</c:v>
                </c:pt>
                <c:pt idx="19">
                  <c:v>5.76</c:v>
                </c:pt>
                <c:pt idx="20">
                  <c:v>6.91</c:v>
                </c:pt>
                <c:pt idx="21">
                  <c:v>7.1</c:v>
                </c:pt>
                <c:pt idx="22">
                  <c:v>7.29</c:v>
                </c:pt>
                <c:pt idx="23">
                  <c:v>7.48</c:v>
                </c:pt>
                <c:pt idx="24">
                  <c:v>7.68</c:v>
                </c:pt>
                <c:pt idx="25">
                  <c:v>8.9700000000000006</c:v>
                </c:pt>
                <c:pt idx="26">
                  <c:v>9.19</c:v>
                </c:pt>
                <c:pt idx="27">
                  <c:v>9.4</c:v>
                </c:pt>
                <c:pt idx="28">
                  <c:v>9.6199999999999992</c:v>
                </c:pt>
                <c:pt idx="29">
                  <c:v>9.84</c:v>
                </c:pt>
                <c:pt idx="30">
                  <c:v>11.28</c:v>
                </c:pt>
                <c:pt idx="31">
                  <c:v>11.52</c:v>
                </c:pt>
                <c:pt idx="32">
                  <c:v>11.76</c:v>
                </c:pt>
                <c:pt idx="33">
                  <c:v>12</c:v>
                </c:pt>
                <c:pt idx="34">
                  <c:v>12.25</c:v>
                </c:pt>
                <c:pt idx="35">
                  <c:v>13.71</c:v>
                </c:pt>
                <c:pt idx="36">
                  <c:v>14.26</c:v>
                </c:pt>
                <c:pt idx="37">
                  <c:v>14.81</c:v>
                </c:pt>
                <c:pt idx="38">
                  <c:v>15.36</c:v>
                </c:pt>
                <c:pt idx="39">
                  <c:v>15.92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1.0050559594836157</c:v>
                </c:pt>
                <c:pt idx="1">
                  <c:v>1.6934907876738343</c:v>
                </c:pt>
                <c:pt idx="2">
                  <c:v>2.0961993463555224</c:v>
                </c:pt>
                <c:pt idx="3">
                  <c:v>2.381925615864052</c:v>
                </c:pt>
                <c:pt idx="4">
                  <c:v>2.6035521285574372</c:v>
                </c:pt>
                <c:pt idx="5">
                  <c:v>3.291986956747655</c:v>
                </c:pt>
                <c:pt idx="6">
                  <c:v>3.6946955154293448</c:v>
                </c:pt>
                <c:pt idx="7">
                  <c:v>3.9804217849378745</c:v>
                </c:pt>
                <c:pt idx="8">
                  <c:v>4.2020482976312596</c:v>
                </c:pt>
                <c:pt idx="9">
                  <c:v>4.3831303436195643</c:v>
                </c:pt>
                <c:pt idx="10">
                  <c:v>4.5362330319931274</c:v>
                </c:pt>
                <c:pt idx="11">
                  <c:v>4.6688566131280922</c:v>
                </c:pt>
                <c:pt idx="12">
                  <c:v>4.7858389023012524</c:v>
                </c:pt>
                <c:pt idx="13">
                  <c:v>4.8904831258214774</c:v>
                </c:pt>
                <c:pt idx="14">
                  <c:v>4.9851453405698134</c:v>
                </c:pt>
                <c:pt idx="15">
                  <c:v>5.0715651718097821</c:v>
                </c:pt>
                <c:pt idx="16">
                  <c:v>5.2931916845031672</c:v>
                </c:pt>
                <c:pt idx="17">
                  <c:v>5.4742737304914719</c:v>
                </c:pt>
                <c:pt idx="18">
                  <c:v>5.627376418865035</c:v>
                </c:pt>
                <c:pt idx="19">
                  <c:v>5.76</c:v>
                </c:pt>
                <c:pt idx="20">
                  <c:v>6.9098746922411429</c:v>
                </c:pt>
                <c:pt idx="21">
                  <c:v>7.002962293761291</c:v>
                </c:pt>
                <c:pt idx="22">
                  <c:v>7.0896247774598873</c:v>
                </c:pt>
                <c:pt idx="23">
                  <c:v>7.3186403062098027</c:v>
                </c:pt>
                <c:pt idx="24">
                  <c:v>7.68</c:v>
                </c:pt>
                <c:pt idx="25">
                  <c:v>9.2786456574362575</c:v>
                </c:pt>
                <c:pt idx="26">
                  <c:v>9.3390244684616697</c:v>
                </c:pt>
                <c:pt idx="27">
                  <c:v>9.3971242822617782</c:v>
                </c:pt>
                <c:pt idx="28">
                  <c:v>9.5593228287181304</c:v>
                </c:pt>
                <c:pt idx="29">
                  <c:v>9.84</c:v>
                </c:pt>
                <c:pt idx="30">
                  <c:v>11.778592907415714</c:v>
                </c:pt>
                <c:pt idx="31">
                  <c:v>11.826892627624922</c:v>
                </c:pt>
                <c:pt idx="32">
                  <c:v>11.87393766668243</c:v>
                </c:pt>
                <c:pt idx="33">
                  <c:v>12.008156999106831</c:v>
                </c:pt>
                <c:pt idx="34">
                  <c:v>12.25</c:v>
                </c:pt>
                <c:pt idx="35">
                  <c:v>15.498182058560994</c:v>
                </c:pt>
                <c:pt idx="36">
                  <c:v>15.540260297677468</c:v>
                </c:pt>
                <c:pt idx="37">
                  <c:v>15.581505249327121</c:v>
                </c:pt>
                <c:pt idx="38">
                  <c:v>15.700554907735528</c:v>
                </c:pt>
                <c:pt idx="39">
                  <c:v>15.92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1.69</c:v>
                </c:pt>
                <c:pt idx="2">
                  <c:v>2.09</c:v>
                </c:pt>
                <c:pt idx="3">
                  <c:v>2.38</c:v>
                </c:pt>
                <c:pt idx="4">
                  <c:v>2.6</c:v>
                </c:pt>
                <c:pt idx="5">
                  <c:v>3.29</c:v>
                </c:pt>
                <c:pt idx="6">
                  <c:v>3.69</c:v>
                </c:pt>
                <c:pt idx="7">
                  <c:v>3.98</c:v>
                </c:pt>
                <c:pt idx="8">
                  <c:v>4.2</c:v>
                </c:pt>
                <c:pt idx="9">
                  <c:v>4.38</c:v>
                </c:pt>
                <c:pt idx="10">
                  <c:v>4.53</c:v>
                </c:pt>
                <c:pt idx="11">
                  <c:v>4.66</c:v>
                </c:pt>
                <c:pt idx="12">
                  <c:v>4.78</c:v>
                </c:pt>
                <c:pt idx="13">
                  <c:v>4.8899999999999997</c:v>
                </c:pt>
                <c:pt idx="14">
                  <c:v>4.9800000000000004</c:v>
                </c:pt>
                <c:pt idx="15">
                  <c:v>5.07</c:v>
                </c:pt>
                <c:pt idx="16">
                  <c:v>5.29</c:v>
                </c:pt>
                <c:pt idx="17">
                  <c:v>5.47</c:v>
                </c:pt>
                <c:pt idx="18">
                  <c:v>5.62</c:v>
                </c:pt>
                <c:pt idx="19">
                  <c:v>5.76</c:v>
                </c:pt>
                <c:pt idx="20">
                  <c:v>6.91</c:v>
                </c:pt>
                <c:pt idx="21">
                  <c:v>7.1</c:v>
                </c:pt>
                <c:pt idx="22">
                  <c:v>7.29</c:v>
                </c:pt>
                <c:pt idx="23">
                  <c:v>7.48</c:v>
                </c:pt>
                <c:pt idx="24">
                  <c:v>7.68</c:v>
                </c:pt>
                <c:pt idx="25">
                  <c:v>8.9700000000000006</c:v>
                </c:pt>
                <c:pt idx="26">
                  <c:v>9.19</c:v>
                </c:pt>
                <c:pt idx="27">
                  <c:v>9.4</c:v>
                </c:pt>
                <c:pt idx="28">
                  <c:v>9.6199999999999992</c:v>
                </c:pt>
                <c:pt idx="29">
                  <c:v>9.84</c:v>
                </c:pt>
                <c:pt idx="30">
                  <c:v>11.28</c:v>
                </c:pt>
                <c:pt idx="31">
                  <c:v>11.52</c:v>
                </c:pt>
                <c:pt idx="32">
                  <c:v>11.76</c:v>
                </c:pt>
                <c:pt idx="33">
                  <c:v>12</c:v>
                </c:pt>
                <c:pt idx="34">
                  <c:v>12.25</c:v>
                </c:pt>
                <c:pt idx="35">
                  <c:v>13.71</c:v>
                </c:pt>
                <c:pt idx="36">
                  <c:v>14.26</c:v>
                </c:pt>
                <c:pt idx="37">
                  <c:v>14.81</c:v>
                </c:pt>
                <c:pt idx="38">
                  <c:v>15.36</c:v>
                </c:pt>
                <c:pt idx="39">
                  <c:v>15.92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1.3514598577653809</c:v>
                </c:pt>
                <c:pt idx="1">
                  <c:v>2.5029197155307621</c:v>
                </c:pt>
                <c:pt idx="2">
                  <c:v>3.2686413991172252</c:v>
                </c:pt>
                <c:pt idx="3">
                  <c:v>3.8119295796544677</c:v>
                </c:pt>
                <c:pt idx="4">
                  <c:v>4.2333366314005776</c:v>
                </c:pt>
                <c:pt idx="5">
                  <c:v>5.5423464955242849</c:v>
                </c:pt>
                <c:pt idx="6">
                  <c:v>6.308068179110748</c:v>
                </c:pt>
                <c:pt idx="7">
                  <c:v>6.8513563596479905</c:v>
                </c:pt>
                <c:pt idx="8">
                  <c:v>7.2727634113940987</c:v>
                </c:pt>
                <c:pt idx="9">
                  <c:v>7.6170780432344536</c:v>
                </c:pt>
                <c:pt idx="10">
                  <c:v>7.9081919164702192</c:v>
                </c:pt>
                <c:pt idx="11">
                  <c:v>8.1603662237716961</c:v>
                </c:pt>
                <c:pt idx="12">
                  <c:v>8.3827997268209202</c:v>
                </c:pt>
                <c:pt idx="13">
                  <c:v>8.5817732755178042</c:v>
                </c:pt>
                <c:pt idx="14">
                  <c:v>8.7617667444582388</c:v>
                </c:pt>
                <c:pt idx="15">
                  <c:v>8.9260879073581592</c:v>
                </c:pt>
                <c:pt idx="16">
                  <c:v>9.3474949591042709</c:v>
                </c:pt>
                <c:pt idx="17">
                  <c:v>9.6918095909446258</c:v>
                </c:pt>
                <c:pt idx="18">
                  <c:v>9.9829234641803914</c:v>
                </c:pt>
                <c:pt idx="19">
                  <c:v>10.235097771481868</c:v>
                </c:pt>
                <c:pt idx="20">
                  <c:v>10.526211644717634</c:v>
                </c:pt>
                <c:pt idx="21">
                  <c:v>10.778385952019111</c:v>
                </c:pt>
                <c:pt idx="22">
                  <c:v>11.000819455068331</c:v>
                </c:pt>
                <c:pt idx="23">
                  <c:v>11.544107635605574</c:v>
                </c:pt>
                <c:pt idx="24">
                  <c:v>11.965514687351682</c:v>
                </c:pt>
                <c:pt idx="25">
                  <c:v>12.309829319192037</c:v>
                </c:pt>
                <c:pt idx="26">
                  <c:v>12.600943192427803</c:v>
                </c:pt>
                <c:pt idx="27">
                  <c:v>12.853117499729279</c:v>
                </c:pt>
                <c:pt idx="28">
                  <c:v>13.075551002778504</c:v>
                </c:pt>
                <c:pt idx="29">
                  <c:v>13.274524551475388</c:v>
                </c:pt>
                <c:pt idx="30">
                  <c:v>13.454518020415822</c:v>
                </c:pt>
                <c:pt idx="31">
                  <c:v>13.618839183315746</c:v>
                </c:pt>
                <c:pt idx="32">
                  <c:v>13.77</c:v>
                </c:pt>
                <c:pt idx="33">
                  <c:v>13.77</c:v>
                </c:pt>
                <c:pt idx="34">
                  <c:v>13.77</c:v>
                </c:pt>
                <c:pt idx="35">
                  <c:v>13.77</c:v>
                </c:pt>
                <c:pt idx="36">
                  <c:v>13.77</c:v>
                </c:pt>
                <c:pt idx="37">
                  <c:v>13.77</c:v>
                </c:pt>
                <c:pt idx="38">
                  <c:v>13.77</c:v>
                </c:pt>
                <c:pt idx="39">
                  <c:v>13.77</c:v>
                </c:pt>
                <c:pt idx="40">
                  <c:v>13.77</c:v>
                </c:pt>
                <c:pt idx="41">
                  <c:v>13.77</c:v>
                </c:pt>
                <c:pt idx="42">
                  <c:v>13.77</c:v>
                </c:pt>
                <c:pt idx="43">
                  <c:v>13.77</c:v>
                </c:pt>
                <c:pt idx="44">
                  <c:v>13.77</c:v>
                </c:pt>
                <c:pt idx="45">
                  <c:v>13.77</c:v>
                </c:pt>
                <c:pt idx="46">
                  <c:v>13.77</c:v>
                </c:pt>
                <c:pt idx="47">
                  <c:v>13.77</c:v>
                </c:pt>
                <c:pt idx="48">
                  <c:v>13.77</c:v>
                </c:pt>
                <c:pt idx="49">
                  <c:v>13.77</c:v>
                </c:pt>
                <c:pt idx="50">
                  <c:v>13.77</c:v>
                </c:pt>
                <c:pt idx="51">
                  <c:v>13.77</c:v>
                </c:pt>
                <c:pt idx="52">
                  <c:v>13.77</c:v>
                </c:pt>
                <c:pt idx="53">
                  <c:v>13.77</c:v>
                </c:pt>
                <c:pt idx="54">
                  <c:v>13.77</c:v>
                </c:pt>
                <c:pt idx="55">
                  <c:v>13.77</c:v>
                </c:pt>
                <c:pt idx="56">
                  <c:v>13.77</c:v>
                </c:pt>
                <c:pt idx="57">
                  <c:v>13.77</c:v>
                </c:pt>
                <c:pt idx="58">
                  <c:v>13.77</c:v>
                </c:pt>
                <c:pt idx="59">
                  <c:v>13.77</c:v>
                </c:pt>
                <c:pt idx="60">
                  <c:v>13.77</c:v>
                </c:pt>
                <c:pt idx="61">
                  <c:v>13.77</c:v>
                </c:pt>
                <c:pt idx="62">
                  <c:v>13.77</c:v>
                </c:pt>
                <c:pt idx="63">
                  <c:v>13.77</c:v>
                </c:pt>
                <c:pt idx="64">
                  <c:v>13.77</c:v>
                </c:pt>
                <c:pt idx="65">
                  <c:v>13.77</c:v>
                </c:pt>
                <c:pt idx="66">
                  <c:v>13.77</c:v>
                </c:pt>
                <c:pt idx="67">
                  <c:v>13.77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1.3514598577653809</c:v>
                </c:pt>
                <c:pt idx="1">
                  <c:v>2.5029197155307621</c:v>
                </c:pt>
                <c:pt idx="2">
                  <c:v>3.2686413991172252</c:v>
                </c:pt>
                <c:pt idx="3">
                  <c:v>3.8119295796544677</c:v>
                </c:pt>
                <c:pt idx="4">
                  <c:v>4.2333366314005776</c:v>
                </c:pt>
                <c:pt idx="5">
                  <c:v>5.5423464955242849</c:v>
                </c:pt>
                <c:pt idx="6">
                  <c:v>6.308068179110748</c:v>
                </c:pt>
                <c:pt idx="7">
                  <c:v>6.8513563596479905</c:v>
                </c:pt>
                <c:pt idx="8">
                  <c:v>7.2727634113940987</c:v>
                </c:pt>
                <c:pt idx="9">
                  <c:v>7.6170780432344536</c:v>
                </c:pt>
                <c:pt idx="10">
                  <c:v>7.9081919164702192</c:v>
                </c:pt>
                <c:pt idx="11">
                  <c:v>8.1603662237716961</c:v>
                </c:pt>
                <c:pt idx="12">
                  <c:v>8.3827997268209202</c:v>
                </c:pt>
                <c:pt idx="13">
                  <c:v>8.5817732755178042</c:v>
                </c:pt>
                <c:pt idx="14">
                  <c:v>8.7617667444582388</c:v>
                </c:pt>
                <c:pt idx="15">
                  <c:v>8.9260879073581592</c:v>
                </c:pt>
                <c:pt idx="16">
                  <c:v>9.3474949591042709</c:v>
                </c:pt>
                <c:pt idx="17">
                  <c:v>9.6918095909446258</c:v>
                </c:pt>
                <c:pt idx="18">
                  <c:v>9.9829234641803914</c:v>
                </c:pt>
                <c:pt idx="19">
                  <c:v>10.235097771481868</c:v>
                </c:pt>
                <c:pt idx="20">
                  <c:v>10.526211644717634</c:v>
                </c:pt>
                <c:pt idx="21">
                  <c:v>10.778385952019111</c:v>
                </c:pt>
                <c:pt idx="22">
                  <c:v>11.000819455068331</c:v>
                </c:pt>
                <c:pt idx="23">
                  <c:v>11.544107635605574</c:v>
                </c:pt>
                <c:pt idx="24">
                  <c:v>11.965514687351682</c:v>
                </c:pt>
                <c:pt idx="25">
                  <c:v>12.309829319192037</c:v>
                </c:pt>
                <c:pt idx="26">
                  <c:v>12.600943192427803</c:v>
                </c:pt>
                <c:pt idx="27">
                  <c:v>12.853117499729279</c:v>
                </c:pt>
                <c:pt idx="28">
                  <c:v>13.075551002778504</c:v>
                </c:pt>
                <c:pt idx="29">
                  <c:v>13.274524551475388</c:v>
                </c:pt>
                <c:pt idx="30">
                  <c:v>13.454518020415822</c:v>
                </c:pt>
                <c:pt idx="31">
                  <c:v>13.618839183315746</c:v>
                </c:pt>
                <c:pt idx="32">
                  <c:v>13.77</c:v>
                </c:pt>
                <c:pt idx="33">
                  <c:v>13.77</c:v>
                </c:pt>
                <c:pt idx="34">
                  <c:v>13.77</c:v>
                </c:pt>
                <c:pt idx="35">
                  <c:v>13.77</c:v>
                </c:pt>
                <c:pt idx="36">
                  <c:v>13.77</c:v>
                </c:pt>
                <c:pt idx="37">
                  <c:v>13.77</c:v>
                </c:pt>
                <c:pt idx="38">
                  <c:v>13.77</c:v>
                </c:pt>
                <c:pt idx="39">
                  <c:v>13.77</c:v>
                </c:pt>
                <c:pt idx="40">
                  <c:v>13.77</c:v>
                </c:pt>
                <c:pt idx="41">
                  <c:v>13.77</c:v>
                </c:pt>
                <c:pt idx="42">
                  <c:v>13.77</c:v>
                </c:pt>
                <c:pt idx="43">
                  <c:v>13.77</c:v>
                </c:pt>
                <c:pt idx="44">
                  <c:v>13.77</c:v>
                </c:pt>
                <c:pt idx="45">
                  <c:v>13.77</c:v>
                </c:pt>
                <c:pt idx="46">
                  <c:v>13.77</c:v>
                </c:pt>
                <c:pt idx="47">
                  <c:v>13.77</c:v>
                </c:pt>
                <c:pt idx="48">
                  <c:v>13.77</c:v>
                </c:pt>
                <c:pt idx="49">
                  <c:v>13.77</c:v>
                </c:pt>
                <c:pt idx="50">
                  <c:v>13.77</c:v>
                </c:pt>
                <c:pt idx="51">
                  <c:v>13.77</c:v>
                </c:pt>
                <c:pt idx="52">
                  <c:v>13.77</c:v>
                </c:pt>
                <c:pt idx="53">
                  <c:v>13.77</c:v>
                </c:pt>
                <c:pt idx="54">
                  <c:v>13.77</c:v>
                </c:pt>
                <c:pt idx="55">
                  <c:v>13.77</c:v>
                </c:pt>
                <c:pt idx="56">
                  <c:v>13.77</c:v>
                </c:pt>
                <c:pt idx="57">
                  <c:v>13.77</c:v>
                </c:pt>
                <c:pt idx="58">
                  <c:v>13.77</c:v>
                </c:pt>
                <c:pt idx="59">
                  <c:v>13.77</c:v>
                </c:pt>
                <c:pt idx="60">
                  <c:v>13.77</c:v>
                </c:pt>
                <c:pt idx="61">
                  <c:v>13.77</c:v>
                </c:pt>
                <c:pt idx="62">
                  <c:v>13.77</c:v>
                </c:pt>
                <c:pt idx="63">
                  <c:v>13.77</c:v>
                </c:pt>
                <c:pt idx="64">
                  <c:v>13.77</c:v>
                </c:pt>
                <c:pt idx="65">
                  <c:v>13.77</c:v>
                </c:pt>
                <c:pt idx="66">
                  <c:v>13.77</c:v>
                </c:pt>
                <c:pt idx="67">
                  <c:v>13.77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9.53856818681618</c:v>
                </c:pt>
                <c:pt idx="1">
                  <c:v>8.8168848813245546</c:v>
                </c:pt>
                <c:pt idx="2">
                  <c:v>8.1498037743206666</c:v>
                </c:pt>
                <c:pt idx="3">
                  <c:v>7.5331936907350467</c:v>
                </c:pt>
                <c:pt idx="4">
                  <c:v>6.9632360181408997</c:v>
                </c:pt>
                <c:pt idx="5">
                  <c:v>5.4992955558528971</c:v>
                </c:pt>
                <c:pt idx="6">
                  <c:v>5.2182920612614154</c:v>
                </c:pt>
                <c:pt idx="7">
                  <c:v>4.458536701048736</c:v>
                </c:pt>
                <c:pt idx="8">
                  <c:v>4.1212060408228259</c:v>
                </c:pt>
                <c:pt idx="9">
                  <c:v>3.8093976498880213</c:v>
                </c:pt>
                <c:pt idx="10">
                  <c:v>3.7107950630558943</c:v>
                </c:pt>
                <c:pt idx="11">
                  <c:v>3.6147447091549436</c:v>
                </c:pt>
                <c:pt idx="12">
                  <c:v>3.5211805260954776</c:v>
                </c:pt>
                <c:pt idx="13">
                  <c:v>3.4300381617413316</c:v>
                </c:pt>
                <c:pt idx="14">
                  <c:v>3.3412549296493634</c:v>
                </c:pt>
                <c:pt idx="15">
                  <c:v>3.2547697659545975</c:v>
                </c:pt>
                <c:pt idx="16">
                  <c:v>3.1705231873713529</c:v>
                </c:pt>
                <c:pt idx="17">
                  <c:v>3.0884572502814702</c:v>
                </c:pt>
                <c:pt idx="18">
                  <c:v>3.0085155108815043</c:v>
                </c:pt>
                <c:pt idx="19">
                  <c:v>2.7808927297688504</c:v>
                </c:pt>
                <c:pt idx="20">
                  <c:v>2.7089120015647672</c:v>
                </c:pt>
                <c:pt idx="21">
                  <c:v>2.314508930718675</c:v>
                </c:pt>
                <c:pt idx="22">
                  <c:v>1.9775288334512644</c:v>
                </c:pt>
                <c:pt idx="23">
                  <c:v>1.6896112325290693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out!$D$10:$D$77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C-4AAC-AC32-9457722BF464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out!$F$10:$F$77</c:f>
              <c:numCache>
                <c:formatCode>\ 0.00</c:formatCode>
                <c:ptCount val="68"/>
                <c:pt idx="0">
                  <c:v>1.3514598577653809</c:v>
                </c:pt>
                <c:pt idx="1">
                  <c:v>2.5029197155307621</c:v>
                </c:pt>
                <c:pt idx="2">
                  <c:v>3.2686413991172252</c:v>
                </c:pt>
                <c:pt idx="3">
                  <c:v>3.8119295796544677</c:v>
                </c:pt>
                <c:pt idx="4">
                  <c:v>4.2333366314005776</c:v>
                </c:pt>
                <c:pt idx="5">
                  <c:v>5.5423464955242849</c:v>
                </c:pt>
                <c:pt idx="6">
                  <c:v>6.308068179110748</c:v>
                </c:pt>
                <c:pt idx="7">
                  <c:v>6.8513563596479905</c:v>
                </c:pt>
                <c:pt idx="8">
                  <c:v>7.2727634113940987</c:v>
                </c:pt>
                <c:pt idx="9">
                  <c:v>7.6170780432344536</c:v>
                </c:pt>
                <c:pt idx="10">
                  <c:v>7.9081919164702192</c:v>
                </c:pt>
                <c:pt idx="11">
                  <c:v>8.1603662237716961</c:v>
                </c:pt>
                <c:pt idx="12">
                  <c:v>8.3827997268209202</c:v>
                </c:pt>
                <c:pt idx="13">
                  <c:v>8.5817732755178042</c:v>
                </c:pt>
                <c:pt idx="14">
                  <c:v>8.7617667444582388</c:v>
                </c:pt>
                <c:pt idx="15">
                  <c:v>8.9260879073581592</c:v>
                </c:pt>
                <c:pt idx="16">
                  <c:v>9.3474949591042709</c:v>
                </c:pt>
                <c:pt idx="17">
                  <c:v>9.6918095909446258</c:v>
                </c:pt>
                <c:pt idx="18">
                  <c:v>9.9829234641803914</c:v>
                </c:pt>
                <c:pt idx="19">
                  <c:v>10.235097771481868</c:v>
                </c:pt>
                <c:pt idx="20">
                  <c:v>10.526211644717634</c:v>
                </c:pt>
                <c:pt idx="21">
                  <c:v>10.778385952019111</c:v>
                </c:pt>
                <c:pt idx="22">
                  <c:v>11.000819455068331</c:v>
                </c:pt>
                <c:pt idx="23">
                  <c:v>11.544107635605574</c:v>
                </c:pt>
                <c:pt idx="24">
                  <c:v>11.965514687351682</c:v>
                </c:pt>
                <c:pt idx="25">
                  <c:v>12.309829319192037</c:v>
                </c:pt>
                <c:pt idx="26">
                  <c:v>12.600943192427803</c:v>
                </c:pt>
                <c:pt idx="27">
                  <c:v>12.853117499729279</c:v>
                </c:pt>
                <c:pt idx="28">
                  <c:v>13.075551002778504</c:v>
                </c:pt>
                <c:pt idx="29">
                  <c:v>13.274524551475388</c:v>
                </c:pt>
                <c:pt idx="30">
                  <c:v>13.454518020415822</c:v>
                </c:pt>
                <c:pt idx="31">
                  <c:v>13.618839183315746</c:v>
                </c:pt>
                <c:pt idx="32">
                  <c:v>13.77</c:v>
                </c:pt>
                <c:pt idx="33">
                  <c:v>13.77</c:v>
                </c:pt>
                <c:pt idx="34">
                  <c:v>13.77</c:v>
                </c:pt>
                <c:pt idx="35">
                  <c:v>13.77</c:v>
                </c:pt>
                <c:pt idx="36">
                  <c:v>13.77</c:v>
                </c:pt>
                <c:pt idx="37">
                  <c:v>13.77</c:v>
                </c:pt>
                <c:pt idx="38">
                  <c:v>13.77</c:v>
                </c:pt>
                <c:pt idx="39">
                  <c:v>13.77</c:v>
                </c:pt>
                <c:pt idx="40">
                  <c:v>13.77</c:v>
                </c:pt>
                <c:pt idx="41">
                  <c:v>13.77</c:v>
                </c:pt>
                <c:pt idx="42">
                  <c:v>13.77</c:v>
                </c:pt>
                <c:pt idx="43">
                  <c:v>13.77</c:v>
                </c:pt>
                <c:pt idx="44">
                  <c:v>13.77</c:v>
                </c:pt>
                <c:pt idx="45">
                  <c:v>13.77</c:v>
                </c:pt>
                <c:pt idx="46">
                  <c:v>13.77</c:v>
                </c:pt>
                <c:pt idx="47">
                  <c:v>13.77</c:v>
                </c:pt>
                <c:pt idx="48">
                  <c:v>13.77</c:v>
                </c:pt>
                <c:pt idx="49">
                  <c:v>13.77</c:v>
                </c:pt>
                <c:pt idx="50">
                  <c:v>13.77</c:v>
                </c:pt>
                <c:pt idx="51">
                  <c:v>13.77</c:v>
                </c:pt>
                <c:pt idx="52">
                  <c:v>13.77</c:v>
                </c:pt>
                <c:pt idx="53">
                  <c:v>13.77</c:v>
                </c:pt>
                <c:pt idx="54">
                  <c:v>13.77</c:v>
                </c:pt>
                <c:pt idx="55">
                  <c:v>13.77</c:v>
                </c:pt>
                <c:pt idx="56">
                  <c:v>13.77</c:v>
                </c:pt>
                <c:pt idx="57">
                  <c:v>13.77</c:v>
                </c:pt>
                <c:pt idx="58">
                  <c:v>13.77</c:v>
                </c:pt>
                <c:pt idx="59">
                  <c:v>13.77</c:v>
                </c:pt>
                <c:pt idx="60">
                  <c:v>13.77</c:v>
                </c:pt>
                <c:pt idx="61">
                  <c:v>13.77</c:v>
                </c:pt>
                <c:pt idx="62">
                  <c:v>13.77</c:v>
                </c:pt>
                <c:pt idx="63">
                  <c:v>13.77</c:v>
                </c:pt>
                <c:pt idx="64">
                  <c:v>13.77</c:v>
                </c:pt>
                <c:pt idx="65">
                  <c:v>13.77</c:v>
                </c:pt>
                <c:pt idx="66">
                  <c:v>13.77</c:v>
                </c:pt>
                <c:pt idx="67">
                  <c:v>13.77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5C-4AAC-AC32-9457722BF464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out!$C$10:$C$77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out!$G$10:$G$77</c:f>
              <c:numCache>
                <c:formatCode>General</c:formatCode>
                <c:ptCount val="68"/>
                <c:pt idx="4">
                  <c:v>15.299999999999999</c:v>
                </c:pt>
                <c:pt idx="9">
                  <c:v>15.299999999999999</c:v>
                </c:pt>
                <c:pt idx="15">
                  <c:v>15.5</c:v>
                </c:pt>
                <c:pt idx="19">
                  <c:v>15.5</c:v>
                </c:pt>
                <c:pt idx="23">
                  <c:v>15.5</c:v>
                </c:pt>
                <c:pt idx="27">
                  <c:v>15.399999999999999</c:v>
                </c:pt>
                <c:pt idx="43">
                  <c:v>15.5</c:v>
                </c:pt>
                <c:pt idx="47">
                  <c:v>15.5</c:v>
                </c:pt>
                <c:pt idx="51">
                  <c:v>15.5</c:v>
                </c:pt>
                <c:pt idx="67">
                  <c:v>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5C-4AAC-AC32-9457722BF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647700</xdr:colOff>
      <xdr:row>0</xdr:row>
      <xdr:rowOff>0</xdr:rowOff>
    </xdr:from>
    <xdr:to>
      <xdr:col>61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ECA4B762-D685-4EDC-92FA-0B7A147775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6" totalsRowShown="0" headerRowDxfId="20" dataDxfId="19" headerRowCellStyle="표준 2" dataCellStyle="표준 2">
  <autoFilter ref="J3:J16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1.69</v>
      </c>
      <c r="E2" s="6">
        <v>2</v>
      </c>
      <c r="F2" s="6">
        <f>StepTest!G13</f>
        <v>1.69</v>
      </c>
    </row>
    <row r="3" spans="1:6">
      <c r="A3" s="124">
        <v>3</v>
      </c>
      <c r="B3" s="6">
        <f t="shared" si="0"/>
        <v>2.09</v>
      </c>
      <c r="E3" s="6">
        <v>3</v>
      </c>
      <c r="F3" s="6">
        <f>StepTest!G14</f>
        <v>2.09</v>
      </c>
    </row>
    <row r="4" spans="1:6">
      <c r="A4" s="124">
        <v>4</v>
      </c>
      <c r="B4" s="6">
        <f t="shared" si="0"/>
        <v>2.38</v>
      </c>
      <c r="E4" s="6">
        <v>4</v>
      </c>
      <c r="F4" s="6">
        <f>StepTest!G15</f>
        <v>2.38</v>
      </c>
    </row>
    <row r="5" spans="1:6">
      <c r="A5" s="124">
        <v>5</v>
      </c>
      <c r="B5" s="6">
        <f t="shared" si="0"/>
        <v>2.6</v>
      </c>
      <c r="E5" s="6">
        <v>5</v>
      </c>
      <c r="F5" s="6">
        <f>StepTest!G16</f>
        <v>2.6</v>
      </c>
    </row>
    <row r="6" spans="1:6">
      <c r="A6" s="124">
        <v>10</v>
      </c>
      <c r="B6" s="6">
        <f t="shared" si="0"/>
        <v>3.29</v>
      </c>
      <c r="E6" s="6">
        <v>10</v>
      </c>
      <c r="F6" s="6">
        <f>StepTest!G17</f>
        <v>3.29</v>
      </c>
    </row>
    <row r="7" spans="1:6">
      <c r="A7" s="124">
        <v>15</v>
      </c>
      <c r="B7" s="6">
        <f t="shared" si="0"/>
        <v>3.69</v>
      </c>
      <c r="E7" s="6">
        <v>15</v>
      </c>
      <c r="F7" s="6">
        <f>StepTest!G18</f>
        <v>3.69</v>
      </c>
    </row>
    <row r="8" spans="1:6">
      <c r="A8" s="124">
        <v>20</v>
      </c>
      <c r="B8" s="6">
        <f t="shared" si="0"/>
        <v>3.98</v>
      </c>
      <c r="E8" s="6">
        <v>20</v>
      </c>
      <c r="F8" s="6">
        <f>StepTest!G19</f>
        <v>3.98</v>
      </c>
    </row>
    <row r="9" spans="1:6">
      <c r="A9" s="124">
        <v>25</v>
      </c>
      <c r="B9" s="6">
        <f t="shared" si="0"/>
        <v>4.2</v>
      </c>
      <c r="E9" s="6">
        <v>25</v>
      </c>
      <c r="F9" s="6">
        <f>StepTest!G20</f>
        <v>4.2</v>
      </c>
    </row>
    <row r="10" spans="1:6">
      <c r="A10" s="124">
        <v>30</v>
      </c>
      <c r="B10" s="6">
        <f t="shared" si="0"/>
        <v>4.38</v>
      </c>
      <c r="E10" s="6">
        <v>30</v>
      </c>
      <c r="F10" s="6">
        <f>StepTest!G21</f>
        <v>4.38</v>
      </c>
    </row>
    <row r="11" spans="1:6">
      <c r="A11" s="124">
        <v>35</v>
      </c>
      <c r="B11" s="6">
        <f t="shared" si="0"/>
        <v>4.53</v>
      </c>
      <c r="E11" s="6">
        <v>35</v>
      </c>
      <c r="F11" s="6">
        <f>StepTest!G22</f>
        <v>4.53</v>
      </c>
    </row>
    <row r="12" spans="1:6">
      <c r="A12" s="124">
        <v>40</v>
      </c>
      <c r="B12" s="6">
        <f t="shared" si="0"/>
        <v>4.66</v>
      </c>
      <c r="E12" s="6">
        <v>40</v>
      </c>
      <c r="F12" s="6">
        <f>StepTest!G23</f>
        <v>4.66</v>
      </c>
    </row>
    <row r="13" spans="1:6">
      <c r="A13" s="124">
        <v>45</v>
      </c>
      <c r="B13" s="6">
        <f t="shared" si="0"/>
        <v>4.78</v>
      </c>
      <c r="E13" s="6">
        <v>45</v>
      </c>
      <c r="F13" s="6">
        <f>StepTest!G24</f>
        <v>4.78</v>
      </c>
    </row>
    <row r="14" spans="1:6">
      <c r="A14" s="124">
        <v>50</v>
      </c>
      <c r="B14" s="6">
        <f t="shared" si="0"/>
        <v>4.8899999999999997</v>
      </c>
      <c r="E14" s="6">
        <v>50</v>
      </c>
      <c r="F14" s="6">
        <f>StepTest!G25</f>
        <v>4.8899999999999997</v>
      </c>
    </row>
    <row r="15" spans="1:6">
      <c r="A15" s="124">
        <v>55</v>
      </c>
      <c r="B15" s="6">
        <f t="shared" si="0"/>
        <v>4.9800000000000004</v>
      </c>
      <c r="E15" s="6">
        <v>55</v>
      </c>
      <c r="F15" s="6">
        <f>StepTest!G26</f>
        <v>4.9800000000000004</v>
      </c>
    </row>
    <row r="16" spans="1:6">
      <c r="A16" s="124">
        <v>60</v>
      </c>
      <c r="B16" s="6">
        <f t="shared" si="0"/>
        <v>5.07</v>
      </c>
      <c r="E16" s="6">
        <v>60</v>
      </c>
      <c r="F16" s="6">
        <f>StepTest!G27</f>
        <v>5.07</v>
      </c>
    </row>
    <row r="17" spans="1:6">
      <c r="A17" s="124">
        <v>75</v>
      </c>
      <c r="B17" s="6">
        <f t="shared" si="0"/>
        <v>5.29</v>
      </c>
      <c r="E17" s="6">
        <v>75</v>
      </c>
      <c r="F17" s="6">
        <f>StepTest!G28</f>
        <v>5.29</v>
      </c>
    </row>
    <row r="18" spans="1:6">
      <c r="A18" s="124">
        <v>90</v>
      </c>
      <c r="B18" s="6">
        <f t="shared" si="0"/>
        <v>5.47</v>
      </c>
      <c r="E18" s="6">
        <v>90</v>
      </c>
      <c r="F18" s="6">
        <f>StepTest!G29</f>
        <v>5.47</v>
      </c>
    </row>
    <row r="19" spans="1:6">
      <c r="A19" s="124">
        <v>105</v>
      </c>
      <c r="B19" s="6">
        <f t="shared" si="0"/>
        <v>5.62</v>
      </c>
      <c r="E19" s="6">
        <v>105</v>
      </c>
      <c r="F19" s="6">
        <f>StepTest!G30</f>
        <v>5.62</v>
      </c>
    </row>
    <row r="20" spans="1:6">
      <c r="A20" s="125">
        <v>120</v>
      </c>
      <c r="B20" s="126">
        <f t="shared" si="0"/>
        <v>5.76</v>
      </c>
      <c r="C20" s="126">
        <f>B26-B20</f>
        <v>1.1500000000000004</v>
      </c>
      <c r="D20" s="127">
        <f>C20/10</f>
        <v>0.11500000000000003</v>
      </c>
      <c r="E20" s="6">
        <v>120</v>
      </c>
      <c r="F20" s="6">
        <f>StepTest!G31</f>
        <v>5.76</v>
      </c>
    </row>
    <row r="21" spans="1:6">
      <c r="A21" s="124">
        <v>121</v>
      </c>
      <c r="B21" s="128">
        <f>B20+D21</f>
        <v>5.92</v>
      </c>
      <c r="D21" s="6">
        <v>0.16</v>
      </c>
      <c r="E21" s="6">
        <v>130</v>
      </c>
      <c r="F21" s="6">
        <f>StepTest!G32</f>
        <v>6.91</v>
      </c>
    </row>
    <row r="22" spans="1:6">
      <c r="A22" s="124">
        <v>122</v>
      </c>
      <c r="B22" s="128">
        <f>B21+D22</f>
        <v>6.07</v>
      </c>
      <c r="D22" s="6">
        <v>0.15</v>
      </c>
      <c r="E22" s="6">
        <v>140</v>
      </c>
      <c r="F22" s="6">
        <f>StepTest!G33</f>
        <v>7.1</v>
      </c>
    </row>
    <row r="23" spans="1:6">
      <c r="A23" s="124">
        <v>123</v>
      </c>
      <c r="B23" s="128">
        <f>B22+D23</f>
        <v>6.21</v>
      </c>
      <c r="D23" s="6">
        <v>0.14000000000000001</v>
      </c>
      <c r="E23" s="6">
        <v>150</v>
      </c>
      <c r="F23" s="6">
        <f>StepTest!G34</f>
        <v>7.29</v>
      </c>
    </row>
    <row r="24" spans="1:6">
      <c r="A24" s="124">
        <v>124</v>
      </c>
      <c r="B24" s="128">
        <f>B23+D24</f>
        <v>6.34</v>
      </c>
      <c r="D24" s="6">
        <v>0.13</v>
      </c>
      <c r="E24" s="6">
        <v>180</v>
      </c>
      <c r="F24" s="6">
        <f>StepTest!G35</f>
        <v>7.48</v>
      </c>
    </row>
    <row r="25" spans="1:6">
      <c r="A25" s="124">
        <v>125</v>
      </c>
      <c r="B25" s="128">
        <f>B24+D25</f>
        <v>6.47</v>
      </c>
      <c r="D25" s="6">
        <v>0.13</v>
      </c>
      <c r="E25" s="6">
        <v>240</v>
      </c>
      <c r="F25" s="6">
        <f>StepTest!G36</f>
        <v>7.68</v>
      </c>
    </row>
    <row r="26" spans="1:6">
      <c r="A26" s="124">
        <v>130</v>
      </c>
      <c r="B26" s="126">
        <f>F21</f>
        <v>6.91</v>
      </c>
      <c r="C26" s="126">
        <f>B28-B26</f>
        <v>0.1899999999999995</v>
      </c>
      <c r="D26" s="126">
        <f>C26/2</f>
        <v>9.4999999999999751E-2</v>
      </c>
      <c r="E26" s="6">
        <v>250</v>
      </c>
      <c r="F26" s="6">
        <f>StepTest!G37</f>
        <v>8.9700000000000006</v>
      </c>
    </row>
    <row r="27" spans="1:6">
      <c r="A27" s="124">
        <v>135</v>
      </c>
      <c r="B27" s="128">
        <f>B26+D27</f>
        <v>7.0200000000000005</v>
      </c>
      <c r="D27" s="6">
        <v>0.11</v>
      </c>
      <c r="E27" s="6">
        <v>260</v>
      </c>
      <c r="F27" s="6">
        <f>StepTest!G38</f>
        <v>9.19</v>
      </c>
    </row>
    <row r="28" spans="1:6">
      <c r="A28" s="124">
        <v>140</v>
      </c>
      <c r="B28" s="126">
        <f>F22</f>
        <v>7.1</v>
      </c>
      <c r="C28" s="126">
        <f>B30-B28</f>
        <v>0.19000000000000039</v>
      </c>
      <c r="D28" s="126">
        <f>C28/2</f>
        <v>9.5000000000000195E-2</v>
      </c>
      <c r="E28" s="6">
        <v>270</v>
      </c>
      <c r="F28" s="6">
        <f>StepTest!G39</f>
        <v>9.4</v>
      </c>
    </row>
    <row r="29" spans="1:6">
      <c r="A29" s="124">
        <v>145</v>
      </c>
      <c r="B29" s="128">
        <f>B28+D29</f>
        <v>7.1999999999999993</v>
      </c>
      <c r="D29" s="6">
        <v>0.1</v>
      </c>
      <c r="E29" s="6">
        <v>300</v>
      </c>
      <c r="F29" s="6">
        <f>StepTest!G40</f>
        <v>9.6199999999999992</v>
      </c>
    </row>
    <row r="30" spans="1:6">
      <c r="A30" s="124">
        <v>150</v>
      </c>
      <c r="B30" s="126">
        <f>F23</f>
        <v>7.29</v>
      </c>
      <c r="C30" s="126">
        <f>B36-B30</f>
        <v>0.19000000000000039</v>
      </c>
      <c r="D30" s="129">
        <f>C30/6</f>
        <v>3.1666666666666732E-2</v>
      </c>
      <c r="E30" s="6">
        <v>360</v>
      </c>
      <c r="F30" s="6">
        <f>StepTest!G41</f>
        <v>9.84</v>
      </c>
    </row>
    <row r="31" spans="1:6">
      <c r="A31" s="124">
        <v>155</v>
      </c>
      <c r="B31" s="128">
        <f>B30+D31</f>
        <v>7.35</v>
      </c>
      <c r="D31" s="6">
        <v>0.06</v>
      </c>
    </row>
    <row r="32" spans="1:6">
      <c r="A32" s="124">
        <v>160</v>
      </c>
      <c r="B32" s="128">
        <f t="shared" ref="B32:B39" si="1">B31+D32</f>
        <v>7.3999999999999995</v>
      </c>
      <c r="D32" s="6">
        <v>0.05</v>
      </c>
    </row>
    <row r="33" spans="1:4">
      <c r="A33" s="124">
        <v>165</v>
      </c>
      <c r="B33" s="128">
        <f t="shared" si="1"/>
        <v>7.4399999999999995</v>
      </c>
      <c r="D33" s="6">
        <v>0.04</v>
      </c>
    </row>
    <row r="34" spans="1:4">
      <c r="A34" s="124">
        <v>170</v>
      </c>
      <c r="B34" s="128">
        <f t="shared" si="1"/>
        <v>7.47</v>
      </c>
      <c r="D34" s="6">
        <v>0.03</v>
      </c>
    </row>
    <row r="35" spans="1:4">
      <c r="A35" s="124">
        <v>175</v>
      </c>
      <c r="B35" s="128">
        <f t="shared" si="1"/>
        <v>7.4899999999999993</v>
      </c>
      <c r="D35" s="6">
        <v>0.02</v>
      </c>
    </row>
    <row r="36" spans="1:4">
      <c r="A36" s="124">
        <v>180</v>
      </c>
      <c r="B36" s="126">
        <f>F24</f>
        <v>7.48</v>
      </c>
      <c r="C36" s="126">
        <f>B40-B36</f>
        <v>0.19999999999999929</v>
      </c>
      <c r="D36" s="126">
        <f>C36/4</f>
        <v>4.9999999999999822E-2</v>
      </c>
    </row>
    <row r="37" spans="1:4">
      <c r="A37" s="124">
        <v>195</v>
      </c>
      <c r="B37" s="128">
        <f t="shared" si="1"/>
        <v>7.5500000000000007</v>
      </c>
      <c r="D37" s="6">
        <v>7.0000000000000007E-2</v>
      </c>
    </row>
    <row r="38" spans="1:4">
      <c r="A38" s="124">
        <v>210</v>
      </c>
      <c r="B38" s="128">
        <f t="shared" si="1"/>
        <v>7.61</v>
      </c>
      <c r="D38" s="6">
        <v>0.06</v>
      </c>
    </row>
    <row r="39" spans="1:4">
      <c r="A39" s="124">
        <v>225</v>
      </c>
      <c r="B39" s="128">
        <f t="shared" si="1"/>
        <v>7.66</v>
      </c>
      <c r="D39" s="6">
        <v>0.05</v>
      </c>
    </row>
    <row r="40" spans="1:4">
      <c r="A40" s="125">
        <v>240</v>
      </c>
      <c r="B40" s="126">
        <f>F25</f>
        <v>7.68</v>
      </c>
      <c r="C40" s="126">
        <f>B46-B40</f>
        <v>1.2900000000000009</v>
      </c>
      <c r="D40" s="127">
        <f>C40/10</f>
        <v>0.12900000000000009</v>
      </c>
    </row>
    <row r="41" spans="1:4">
      <c r="A41" s="124">
        <v>241</v>
      </c>
      <c r="B41" s="128">
        <f>B40+D41</f>
        <v>7.8599999999999994</v>
      </c>
      <c r="D41" s="6">
        <v>0.18</v>
      </c>
    </row>
    <row r="42" spans="1:4">
      <c r="A42" s="124">
        <v>242</v>
      </c>
      <c r="B42" s="128">
        <f>B41+D42</f>
        <v>8.02</v>
      </c>
      <c r="D42" s="6">
        <v>0.16</v>
      </c>
    </row>
    <row r="43" spans="1:4">
      <c r="A43" s="124">
        <v>243</v>
      </c>
      <c r="B43" s="128">
        <f>B42+D43</f>
        <v>8.17</v>
      </c>
      <c r="D43" s="6">
        <v>0.15</v>
      </c>
    </row>
    <row r="44" spans="1:4">
      <c r="A44" s="124">
        <v>244</v>
      </c>
      <c r="B44" s="128">
        <f>B43+D44</f>
        <v>8.31</v>
      </c>
      <c r="D44" s="6">
        <v>0.14000000000000001</v>
      </c>
    </row>
    <row r="45" spans="1:4">
      <c r="A45" s="124">
        <v>245</v>
      </c>
      <c r="B45" s="128">
        <f>B44+D45</f>
        <v>8.4400000000000013</v>
      </c>
      <c r="D45" s="6">
        <v>0.13</v>
      </c>
    </row>
    <row r="46" spans="1:4">
      <c r="A46" s="124">
        <v>250</v>
      </c>
      <c r="B46" s="126">
        <f>F26</f>
        <v>8.9700000000000006</v>
      </c>
      <c r="C46" s="126">
        <f>B48-B46</f>
        <v>0.21999999999999886</v>
      </c>
      <c r="D46" s="126">
        <f>C46/2</f>
        <v>0.10999999999999943</v>
      </c>
    </row>
    <row r="47" spans="1:4">
      <c r="A47" s="124">
        <v>255</v>
      </c>
      <c r="B47" s="128">
        <f>B46+D47</f>
        <v>9.08</v>
      </c>
      <c r="D47" s="6">
        <v>0.11</v>
      </c>
    </row>
    <row r="48" spans="1:4">
      <c r="A48" s="124">
        <v>260</v>
      </c>
      <c r="B48" s="126">
        <f>F27</f>
        <v>9.19</v>
      </c>
      <c r="C48" s="126">
        <f>B50-B48</f>
        <v>0.21000000000000085</v>
      </c>
      <c r="D48" s="126">
        <f>C48/2</f>
        <v>0.10500000000000043</v>
      </c>
    </row>
    <row r="49" spans="1:6">
      <c r="A49" s="124">
        <v>265</v>
      </c>
      <c r="B49" s="128">
        <f>B48+D49</f>
        <v>9.2999999999999989</v>
      </c>
      <c r="D49" s="6">
        <v>0.11</v>
      </c>
    </row>
    <row r="50" spans="1:6">
      <c r="A50" s="124">
        <v>270</v>
      </c>
      <c r="B50" s="126">
        <f>F28</f>
        <v>9.4</v>
      </c>
      <c r="C50" s="126">
        <f>B56-B50</f>
        <v>0.21999999999999886</v>
      </c>
      <c r="D50" s="129">
        <f>C50/6</f>
        <v>3.666666666666648E-2</v>
      </c>
    </row>
    <row r="51" spans="1:6">
      <c r="A51" s="124">
        <v>275</v>
      </c>
      <c r="B51" s="128">
        <f>B50+D51</f>
        <v>9.4700000000000006</v>
      </c>
      <c r="D51" s="6">
        <v>7.0000000000000007E-2</v>
      </c>
    </row>
    <row r="52" spans="1:6">
      <c r="A52" s="124">
        <v>280</v>
      </c>
      <c r="B52" s="128">
        <f>B51+D52</f>
        <v>9.5200000000000014</v>
      </c>
      <c r="D52" s="6">
        <v>0.05</v>
      </c>
    </row>
    <row r="53" spans="1:6">
      <c r="A53" s="124">
        <v>285</v>
      </c>
      <c r="B53" s="128">
        <f>B52+D53</f>
        <v>9.56</v>
      </c>
      <c r="D53" s="6">
        <v>0.04</v>
      </c>
    </row>
    <row r="54" spans="1:6">
      <c r="A54" s="124">
        <v>290</v>
      </c>
      <c r="B54" s="128">
        <f>B53+D54</f>
        <v>9.59</v>
      </c>
      <c r="D54" s="6">
        <v>0.03</v>
      </c>
    </row>
    <row r="55" spans="1:6">
      <c r="A55" s="124">
        <v>295</v>
      </c>
      <c r="B55" s="128">
        <f>B54+D55</f>
        <v>9.61</v>
      </c>
      <c r="D55" s="6">
        <v>0.02</v>
      </c>
    </row>
    <row r="56" spans="1:6">
      <c r="A56" s="124">
        <v>300</v>
      </c>
      <c r="B56" s="126">
        <f>F29</f>
        <v>9.6199999999999992</v>
      </c>
      <c r="C56" s="126">
        <f>B60-B56</f>
        <v>0.22000000000000064</v>
      </c>
      <c r="D56" s="126">
        <f>C56/4</f>
        <v>5.500000000000016E-2</v>
      </c>
    </row>
    <row r="57" spans="1:6">
      <c r="A57" s="124">
        <v>315</v>
      </c>
      <c r="B57" s="128">
        <f>B56+D57</f>
        <v>9.6999999999999993</v>
      </c>
      <c r="D57" s="6">
        <v>0.08</v>
      </c>
    </row>
    <row r="58" spans="1:6">
      <c r="A58" s="124">
        <v>330</v>
      </c>
      <c r="B58" s="128">
        <f>B57+D58</f>
        <v>9.76</v>
      </c>
      <c r="D58" s="6">
        <v>0.06</v>
      </c>
    </row>
    <row r="59" spans="1:6">
      <c r="A59" s="124">
        <v>345</v>
      </c>
      <c r="B59" s="128">
        <f>B58+D59</f>
        <v>9.81</v>
      </c>
      <c r="D59" s="6">
        <v>0.05</v>
      </c>
    </row>
    <row r="60" spans="1:6">
      <c r="A60" s="125">
        <v>360</v>
      </c>
      <c r="B60" s="126">
        <f>F30</f>
        <v>9.84</v>
      </c>
      <c r="C60" s="126">
        <f>B66-B60</f>
        <v>1.4399999999999995</v>
      </c>
      <c r="D60" s="127">
        <f>C60/10</f>
        <v>0.14399999999999996</v>
      </c>
    </row>
    <row r="61" spans="1:6">
      <c r="A61" s="124">
        <v>361</v>
      </c>
      <c r="B61" s="128">
        <f>B60+D61</f>
        <v>10.029999999999999</v>
      </c>
      <c r="D61" s="6">
        <v>0.19</v>
      </c>
    </row>
    <row r="62" spans="1:6">
      <c r="A62" s="124">
        <v>362</v>
      </c>
      <c r="B62" s="128">
        <f>B61+D62</f>
        <v>10.199999999999999</v>
      </c>
      <c r="D62" s="6">
        <v>0.17</v>
      </c>
    </row>
    <row r="63" spans="1:6">
      <c r="A63" s="124">
        <v>363</v>
      </c>
      <c r="B63" s="128">
        <f>B62+D63</f>
        <v>10.36</v>
      </c>
      <c r="D63" s="6">
        <v>0.16</v>
      </c>
      <c r="E63" s="6">
        <v>370</v>
      </c>
      <c r="F63" s="6">
        <f>StepTest!G42</f>
        <v>11.28</v>
      </c>
    </row>
    <row r="64" spans="1:6">
      <c r="A64" s="124">
        <v>364</v>
      </c>
      <c r="B64" s="128">
        <f>B63+D64</f>
        <v>10.51</v>
      </c>
      <c r="D64" s="6">
        <v>0.15</v>
      </c>
      <c r="E64" s="6">
        <v>380</v>
      </c>
      <c r="F64" s="6">
        <f>StepTest!G43</f>
        <v>11.52</v>
      </c>
    </row>
    <row r="65" spans="1:6">
      <c r="A65" s="124">
        <v>365</v>
      </c>
      <c r="B65" s="128">
        <f>B64+D65</f>
        <v>10.65</v>
      </c>
      <c r="D65" s="6">
        <v>0.14000000000000001</v>
      </c>
      <c r="E65" s="6">
        <v>390</v>
      </c>
      <c r="F65" s="6">
        <f>StepTest!G44</f>
        <v>11.76</v>
      </c>
    </row>
    <row r="66" spans="1:6">
      <c r="A66" s="124">
        <v>370</v>
      </c>
      <c r="B66" s="126">
        <f>F63</f>
        <v>11.28</v>
      </c>
      <c r="C66" s="130">
        <f>B68-B66</f>
        <v>0.24000000000000021</v>
      </c>
      <c r="D66" s="126">
        <f>C66/2</f>
        <v>0.12000000000000011</v>
      </c>
      <c r="E66" s="6">
        <v>420</v>
      </c>
      <c r="F66" s="6">
        <f>StepTest!G45</f>
        <v>12</v>
      </c>
    </row>
    <row r="67" spans="1:6">
      <c r="A67" s="124">
        <v>375</v>
      </c>
      <c r="B67" s="128">
        <f>B66+D67</f>
        <v>11.399999999999999</v>
      </c>
      <c r="D67" s="6">
        <v>0.12</v>
      </c>
      <c r="E67" s="6">
        <v>480</v>
      </c>
      <c r="F67" s="6">
        <f>StepTest!G46</f>
        <v>12.25</v>
      </c>
    </row>
    <row r="68" spans="1:6">
      <c r="A68" s="124">
        <v>380</v>
      </c>
      <c r="B68" s="131">
        <f>F64</f>
        <v>11.52</v>
      </c>
      <c r="C68" s="126">
        <f>B70-B68</f>
        <v>0.24000000000000021</v>
      </c>
      <c r="D68" s="126">
        <f>C68/2</f>
        <v>0.12000000000000011</v>
      </c>
      <c r="E68" s="6">
        <v>490</v>
      </c>
      <c r="F68" s="6">
        <f>StepTest!G47</f>
        <v>13.71</v>
      </c>
    </row>
    <row r="69" spans="1:6">
      <c r="A69" s="124">
        <v>385</v>
      </c>
      <c r="B69" s="128">
        <f>B68+D69</f>
        <v>11.639999999999999</v>
      </c>
      <c r="D69" s="6">
        <v>0.12</v>
      </c>
      <c r="E69" s="6">
        <v>500</v>
      </c>
      <c r="F69" s="6">
        <f>StepTest!G48</f>
        <v>14.26</v>
      </c>
    </row>
    <row r="70" spans="1:6">
      <c r="A70" s="124">
        <v>390</v>
      </c>
      <c r="B70" s="131">
        <f>F65</f>
        <v>11.76</v>
      </c>
      <c r="C70" s="126">
        <f>B76-B70</f>
        <v>0.24000000000000021</v>
      </c>
      <c r="D70" s="129">
        <f>C70/6</f>
        <v>4.0000000000000036E-2</v>
      </c>
      <c r="E70" s="6">
        <v>510</v>
      </c>
      <c r="F70" s="6">
        <f>StepTest!G49</f>
        <v>14.81</v>
      </c>
    </row>
    <row r="71" spans="1:6">
      <c r="A71" s="124">
        <v>395</v>
      </c>
      <c r="B71" s="128">
        <f>B70+D71</f>
        <v>11.83</v>
      </c>
      <c r="D71" s="6">
        <v>7.0000000000000007E-2</v>
      </c>
      <c r="E71" s="6">
        <v>540</v>
      </c>
      <c r="F71" s="6">
        <f>StepTest!G50</f>
        <v>15.36</v>
      </c>
    </row>
    <row r="72" spans="1:6">
      <c r="A72" s="124">
        <v>400</v>
      </c>
      <c r="B72" s="128">
        <f>B71+D72</f>
        <v>11.88</v>
      </c>
      <c r="D72" s="6">
        <v>0.05</v>
      </c>
      <c r="E72" s="6">
        <v>600</v>
      </c>
      <c r="F72" s="6">
        <f>StepTest!G51</f>
        <v>15.92</v>
      </c>
    </row>
    <row r="73" spans="1:6">
      <c r="A73" s="124">
        <v>405</v>
      </c>
      <c r="B73" s="128">
        <f>B72+D73</f>
        <v>11.92</v>
      </c>
      <c r="D73" s="6">
        <v>0.04</v>
      </c>
    </row>
    <row r="74" spans="1:6">
      <c r="A74" s="124">
        <v>410</v>
      </c>
      <c r="B74" s="128">
        <f>B73+D74</f>
        <v>11.95</v>
      </c>
      <c r="D74" s="6">
        <v>0.03</v>
      </c>
    </row>
    <row r="75" spans="1:6">
      <c r="A75" s="124">
        <v>415</v>
      </c>
      <c r="B75" s="128">
        <f>B74+D75</f>
        <v>11.979999999999999</v>
      </c>
      <c r="D75" s="6">
        <v>0.03</v>
      </c>
    </row>
    <row r="76" spans="1:6">
      <c r="A76" s="124">
        <v>420</v>
      </c>
      <c r="B76" s="131">
        <f>F66</f>
        <v>12</v>
      </c>
      <c r="C76" s="126">
        <f>B80-B76</f>
        <v>0.25</v>
      </c>
      <c r="D76" s="126">
        <f>C76/4</f>
        <v>6.25E-2</v>
      </c>
    </row>
    <row r="77" spans="1:6">
      <c r="A77" s="124">
        <v>435</v>
      </c>
      <c r="B77" s="128">
        <f>B76+D77</f>
        <v>12.09</v>
      </c>
      <c r="D77" s="6">
        <v>0.09</v>
      </c>
    </row>
    <row r="78" spans="1:6">
      <c r="A78" s="124">
        <v>450</v>
      </c>
      <c r="B78" s="128">
        <f>B77+D78</f>
        <v>12.16</v>
      </c>
      <c r="D78" s="6">
        <v>7.0000000000000007E-2</v>
      </c>
    </row>
    <row r="79" spans="1:6">
      <c r="A79" s="124">
        <v>465</v>
      </c>
      <c r="B79" s="128">
        <f>B78+D79</f>
        <v>12.21</v>
      </c>
      <c r="D79" s="6">
        <v>0.05</v>
      </c>
    </row>
    <row r="80" spans="1:6">
      <c r="A80" s="125">
        <v>480</v>
      </c>
      <c r="B80" s="131">
        <f>F67</f>
        <v>12.25</v>
      </c>
      <c r="C80" s="126">
        <f>B86-B80</f>
        <v>1.4600000000000009</v>
      </c>
      <c r="D80" s="127">
        <f>C80/10</f>
        <v>0.14600000000000007</v>
      </c>
    </row>
    <row r="81" spans="1:4">
      <c r="A81" s="124">
        <v>481</v>
      </c>
      <c r="B81" s="128">
        <f>B80+D81</f>
        <v>12.46</v>
      </c>
      <c r="D81" s="6">
        <v>0.21</v>
      </c>
    </row>
    <row r="82" spans="1:4">
      <c r="A82" s="124">
        <v>482</v>
      </c>
      <c r="B82" s="128">
        <f>B81+D82</f>
        <v>12.65</v>
      </c>
      <c r="D82" s="6">
        <v>0.19</v>
      </c>
    </row>
    <row r="83" spans="1:4">
      <c r="A83" s="124">
        <v>483</v>
      </c>
      <c r="B83" s="128">
        <f>B82+D83</f>
        <v>12.82</v>
      </c>
      <c r="D83" s="6">
        <v>0.17</v>
      </c>
    </row>
    <row r="84" spans="1:4">
      <c r="A84" s="124">
        <v>484</v>
      </c>
      <c r="B84" s="128">
        <f>B83+D84</f>
        <v>12.98</v>
      </c>
      <c r="D84" s="6">
        <v>0.16</v>
      </c>
    </row>
    <row r="85" spans="1:4">
      <c r="A85" s="124">
        <v>485</v>
      </c>
      <c r="B85" s="128">
        <f>B84+D85</f>
        <v>13.120000000000001</v>
      </c>
      <c r="D85" s="6">
        <v>0.14000000000000001</v>
      </c>
    </row>
    <row r="86" spans="1:4">
      <c r="A86" s="124">
        <v>490</v>
      </c>
      <c r="B86" s="131">
        <f>F68</f>
        <v>13.71</v>
      </c>
      <c r="C86" s="126">
        <f>B88-B86</f>
        <v>0.54999999999999893</v>
      </c>
      <c r="D86" s="126">
        <f>C86/2</f>
        <v>0.27499999999999947</v>
      </c>
    </row>
    <row r="87" spans="1:4">
      <c r="A87" s="124">
        <v>495</v>
      </c>
      <c r="B87" s="128">
        <f>B86+D87</f>
        <v>14.020000000000001</v>
      </c>
      <c r="D87" s="6">
        <v>0.31</v>
      </c>
    </row>
    <row r="88" spans="1:4">
      <c r="A88" s="124">
        <v>500</v>
      </c>
      <c r="B88" s="131">
        <f>F69</f>
        <v>14.26</v>
      </c>
      <c r="C88" s="126">
        <f>B90-B88</f>
        <v>0.55000000000000071</v>
      </c>
      <c r="D88" s="126">
        <f>C88/2</f>
        <v>0.27500000000000036</v>
      </c>
    </row>
    <row r="89" spans="1:4">
      <c r="A89" s="124">
        <v>505</v>
      </c>
      <c r="B89" s="128">
        <f>B88+D89</f>
        <v>14.56</v>
      </c>
      <c r="D89" s="6">
        <v>0.3</v>
      </c>
    </row>
    <row r="90" spans="1:4">
      <c r="A90" s="124">
        <v>510</v>
      </c>
      <c r="B90" s="131">
        <f>F70</f>
        <v>14.81</v>
      </c>
      <c r="C90" s="126">
        <f>B96-B90</f>
        <v>0.54999999999999893</v>
      </c>
      <c r="D90" s="129">
        <f>C90/6</f>
        <v>9.1666666666666494E-2</v>
      </c>
    </row>
    <row r="91" spans="1:4">
      <c r="A91" s="124">
        <v>515</v>
      </c>
      <c r="B91" s="128">
        <f>B90+D91</f>
        <v>14.96</v>
      </c>
      <c r="D91" s="6">
        <v>0.15</v>
      </c>
    </row>
    <row r="92" spans="1:4">
      <c r="A92" s="124">
        <v>520</v>
      </c>
      <c r="B92" s="128">
        <f>B91+D92</f>
        <v>15.090000000000002</v>
      </c>
      <c r="D92" s="6">
        <v>0.13</v>
      </c>
    </row>
    <row r="93" spans="1:4">
      <c r="A93" s="124">
        <v>525</v>
      </c>
      <c r="B93" s="128">
        <f>B92+D93</f>
        <v>15.200000000000001</v>
      </c>
      <c r="D93" s="6">
        <v>0.11</v>
      </c>
    </row>
    <row r="94" spans="1:4">
      <c r="A94" s="124">
        <v>530</v>
      </c>
      <c r="B94" s="128">
        <f>B93+D94</f>
        <v>15.280000000000001</v>
      </c>
      <c r="D94" s="6">
        <v>0.08</v>
      </c>
    </row>
    <row r="95" spans="1:4">
      <c r="A95" s="124">
        <v>535</v>
      </c>
      <c r="B95" s="128">
        <f>B94+D95</f>
        <v>15.350000000000001</v>
      </c>
      <c r="D95" s="6">
        <v>7.0000000000000007E-2</v>
      </c>
    </row>
    <row r="96" spans="1:4">
      <c r="A96" s="124">
        <v>540</v>
      </c>
      <c r="B96" s="131">
        <f>F71</f>
        <v>15.36</v>
      </c>
      <c r="C96" s="126">
        <f>B100-B96</f>
        <v>0.5600000000000005</v>
      </c>
      <c r="D96" s="126">
        <f>C96/4</f>
        <v>0.14000000000000012</v>
      </c>
    </row>
    <row r="97" spans="1:4">
      <c r="A97" s="124">
        <v>555</v>
      </c>
      <c r="B97" s="128">
        <f>B96+D97</f>
        <v>15.549999999999999</v>
      </c>
      <c r="D97" s="6">
        <v>0.19</v>
      </c>
    </row>
    <row r="98" spans="1:4">
      <c r="A98" s="124">
        <v>570</v>
      </c>
      <c r="B98" s="128">
        <f>B97+D98</f>
        <v>15.709999999999999</v>
      </c>
      <c r="D98" s="6">
        <v>0.16</v>
      </c>
    </row>
    <row r="99" spans="1:4">
      <c r="A99" s="124">
        <v>585</v>
      </c>
      <c r="B99" s="128">
        <f>B98+D99</f>
        <v>15.85</v>
      </c>
      <c r="D99" s="6">
        <v>0.14000000000000001</v>
      </c>
    </row>
    <row r="100" spans="1:4">
      <c r="A100" s="125">
        <v>600</v>
      </c>
      <c r="B100" s="66">
        <f>F72</f>
        <v>15.92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C22" zoomScaleNormal="100" workbookViewId="0">
      <selection activeCell="P53" sqref="P5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15.975000000000001</v>
      </c>
      <c r="F1" s="3"/>
      <c r="G1" s="3">
        <f>E1/E2</f>
        <v>0.88750000000000007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30</v>
      </c>
      <c r="E2" s="3">
        <f>M51/3</f>
        <v>18</v>
      </c>
      <c r="F2" s="279" t="s">
        <v>2</v>
      </c>
      <c r="G2" s="3" t="s">
        <v>3</v>
      </c>
    </row>
    <row r="3" spans="1:15" s="210" customFormat="1">
      <c r="A3" s="215">
        <f>B3+$M$48</f>
        <v>17.509999999999998</v>
      </c>
      <c r="B3" s="299">
        <f>B20</f>
        <v>5.76</v>
      </c>
      <c r="C3" s="216"/>
      <c r="D3" s="300">
        <f t="shared" ref="D3:D7" si="0">D20</f>
        <v>34</v>
      </c>
      <c r="E3" s="4">
        <f>D3/12</f>
        <v>2.8333333333333335</v>
      </c>
      <c r="F3" s="217">
        <f>B3/D3</f>
        <v>0.16941176470588235</v>
      </c>
      <c r="G3" s="217">
        <f>1/F3</f>
        <v>5.9027777777777777</v>
      </c>
    </row>
    <row r="4" spans="1:15" s="210" customFormat="1">
      <c r="A4" s="215">
        <f>B4+$M$48</f>
        <v>19.43</v>
      </c>
      <c r="B4" s="216">
        <f>B21</f>
        <v>7.68</v>
      </c>
      <c r="C4" s="216"/>
      <c r="D4" s="214">
        <f t="shared" si="0"/>
        <v>43</v>
      </c>
      <c r="E4" s="4">
        <f>D4/12</f>
        <v>3.5833333333333335</v>
      </c>
      <c r="F4" s="217">
        <f t="shared" ref="F4:F7" si="1">B4/D4</f>
        <v>0.1786046511627907</v>
      </c>
      <c r="G4" s="217">
        <f t="shared" ref="G4:G7" si="2">1/F4</f>
        <v>5.598958333333333</v>
      </c>
    </row>
    <row r="5" spans="1:15" s="210" customFormat="1">
      <c r="A5" s="215">
        <f>B5+$M$48</f>
        <v>21.59</v>
      </c>
      <c r="B5" s="216">
        <f>B22</f>
        <v>9.84</v>
      </c>
      <c r="C5" s="216"/>
      <c r="D5" s="214">
        <f t="shared" si="0"/>
        <v>52.699999999999996</v>
      </c>
      <c r="E5" s="4">
        <f>D5/12</f>
        <v>4.3916666666666666</v>
      </c>
      <c r="F5" s="217">
        <f t="shared" si="1"/>
        <v>0.18671726755218218</v>
      </c>
      <c r="G5" s="217">
        <f t="shared" si="2"/>
        <v>5.3556910569105689</v>
      </c>
    </row>
    <row r="6" spans="1:15" s="210" customFormat="1">
      <c r="A6" s="215">
        <f>B6+$M$48</f>
        <v>24</v>
      </c>
      <c r="B6" s="299">
        <f>B23</f>
        <v>12.25</v>
      </c>
      <c r="C6" s="216"/>
      <c r="D6" s="214">
        <f>D23</f>
        <v>62</v>
      </c>
      <c r="E6" s="4">
        <f>D6/12</f>
        <v>5.166666666666667</v>
      </c>
      <c r="F6" s="217">
        <f t="shared" si="1"/>
        <v>0.19758064516129031</v>
      </c>
      <c r="G6" s="217">
        <f t="shared" si="2"/>
        <v>5.0612244897959187</v>
      </c>
    </row>
    <row r="7" spans="1:15" s="210" customFormat="1">
      <c r="A7" s="215">
        <f>B7+$M$48</f>
        <v>27.67</v>
      </c>
      <c r="B7" s="216">
        <f>B24</f>
        <v>15.92</v>
      </c>
      <c r="C7" s="216"/>
      <c r="D7" s="214">
        <f t="shared" si="0"/>
        <v>71.3</v>
      </c>
      <c r="E7" s="4">
        <f>D7/12</f>
        <v>5.9416666666666664</v>
      </c>
      <c r="F7" s="217">
        <f t="shared" si="1"/>
        <v>0.22328190743338008</v>
      </c>
      <c r="G7" s="217">
        <f t="shared" si="2"/>
        <v>4.4786432160804024</v>
      </c>
    </row>
    <row r="8" spans="1:15" s="210" customFormat="1">
      <c r="A8" s="4"/>
      <c r="B8" s="4" t="s">
        <v>4</v>
      </c>
      <c r="C8" s="4"/>
      <c r="D8" s="4"/>
      <c r="E8" s="434" t="s">
        <v>5</v>
      </c>
      <c r="F8" s="434"/>
      <c r="G8" s="434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33" t="s">
        <v>7</v>
      </c>
      <c r="G9" s="433"/>
    </row>
    <row r="10" spans="1:15" s="210" customFormat="1">
      <c r="A10" s="219">
        <f>D20/B20</f>
        <v>5.9027777777777777</v>
      </c>
      <c r="B10" s="219">
        <f>B20/D20</f>
        <v>0.16941176470588235</v>
      </c>
      <c r="C10" s="4"/>
      <c r="D10" s="4"/>
      <c r="E10" s="277">
        <v>0.98</v>
      </c>
      <c r="F10" s="433" t="s">
        <v>8</v>
      </c>
      <c r="G10" s="433"/>
    </row>
    <row r="11" spans="1:15" s="210" customFormat="1">
      <c r="A11" s="219">
        <f t="shared" ref="A11:A14" si="3">D21/B21</f>
        <v>5.5989583333333339</v>
      </c>
      <c r="B11" s="219">
        <f t="shared" ref="B11:B14" si="4">B21/D21</f>
        <v>0.1786046511627907</v>
      </c>
      <c r="C11" s="4"/>
      <c r="D11" s="4" t="s">
        <v>4</v>
      </c>
      <c r="E11" s="277">
        <v>0.98</v>
      </c>
      <c r="F11" s="433" t="s">
        <v>9</v>
      </c>
      <c r="G11" s="433"/>
    </row>
    <row r="12" spans="1:15" s="210" customFormat="1">
      <c r="A12" s="219">
        <f t="shared" si="3"/>
        <v>5.3556910569105689</v>
      </c>
      <c r="B12" s="219">
        <f t="shared" si="4"/>
        <v>0.18671726755218218</v>
      </c>
      <c r="C12" s="4"/>
      <c r="D12" s="4"/>
      <c r="E12" s="277">
        <v>1</v>
      </c>
      <c r="F12" s="433" t="s">
        <v>10</v>
      </c>
      <c r="G12" s="433"/>
    </row>
    <row r="13" spans="1:15" s="210" customFormat="1">
      <c r="A13" s="219">
        <f t="shared" si="3"/>
        <v>5.0612244897959187</v>
      </c>
      <c r="B13" s="219">
        <f t="shared" si="4"/>
        <v>0.19758064516129031</v>
      </c>
      <c r="C13" s="4"/>
      <c r="D13" s="4" t="s">
        <v>4</v>
      </c>
      <c r="E13" s="434" t="s">
        <v>11</v>
      </c>
      <c r="F13" s="434"/>
      <c r="G13" s="434"/>
    </row>
    <row r="14" spans="1:15" s="210" customFormat="1">
      <c r="A14" s="219">
        <f t="shared" si="3"/>
        <v>4.4786432160804015</v>
      </c>
      <c r="B14" s="219">
        <f t="shared" si="4"/>
        <v>0.22328190743338008</v>
      </c>
      <c r="C14" s="4"/>
      <c r="D14" s="4"/>
      <c r="E14" s="277">
        <v>1</v>
      </c>
      <c r="F14" s="433" t="s">
        <v>7</v>
      </c>
      <c r="G14" s="433"/>
    </row>
    <row r="15" spans="1:15" s="210" customFormat="1">
      <c r="A15" s="4"/>
      <c r="B15" s="4"/>
      <c r="C15" s="4"/>
      <c r="D15" s="4"/>
      <c r="E15" s="277">
        <v>1</v>
      </c>
      <c r="F15" s="433" t="s">
        <v>8</v>
      </c>
      <c r="G15" s="433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33" t="s">
        <v>9</v>
      </c>
      <c r="G16" s="433"/>
      <c r="O16" s="266">
        <v>45024</v>
      </c>
    </row>
    <row r="17" spans="1:21" s="210" customFormat="1">
      <c r="A17" s="4"/>
      <c r="B17" s="218">
        <f>M52</f>
        <v>12.25</v>
      </c>
      <c r="C17" s="4"/>
      <c r="D17" s="284">
        <f>M47</f>
        <v>62</v>
      </c>
      <c r="E17" s="277">
        <v>1</v>
      </c>
      <c r="F17" s="433" t="s">
        <v>10</v>
      </c>
      <c r="G17" s="433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30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5.76</v>
      </c>
      <c r="C20" s="4">
        <f>0.48*E9</f>
        <v>0.47039999999999998</v>
      </c>
      <c r="D20" s="241">
        <f>INT(D$17*E20)</f>
        <v>34</v>
      </c>
      <c r="E20" s="285">
        <f>0.55*E14</f>
        <v>0.55000000000000004</v>
      </c>
      <c r="F20" s="217">
        <f>B20/D20</f>
        <v>0.16941176470588235</v>
      </c>
      <c r="G20" s="4">
        <f>F20-F19</f>
        <v>0.16941176470588235</v>
      </c>
    </row>
    <row r="21" spans="1:21" s="210" customFormat="1" ht="16.5">
      <c r="A21" s="216">
        <f>B21-B20</f>
        <v>1.92</v>
      </c>
      <c r="B21" s="223">
        <f>INT(B$17*C21*100)/100</f>
        <v>7.68</v>
      </c>
      <c r="C21" s="4">
        <f>0.64*E10</f>
        <v>0.62719999999999998</v>
      </c>
      <c r="D21" s="241">
        <f>INT(D$17*E21)</f>
        <v>43</v>
      </c>
      <c r="E21" s="285">
        <f>0.7*E15</f>
        <v>0.7</v>
      </c>
      <c r="F21" s="217">
        <f>B21/D21</f>
        <v>0.1786046511627907</v>
      </c>
      <c r="G21" s="4">
        <f>F21-F20</f>
        <v>9.1928864569083557E-3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2.16</v>
      </c>
      <c r="B22" s="223">
        <f>INT(B$17*C22*100)/100</f>
        <v>9.84</v>
      </c>
      <c r="C22" s="4">
        <f>0.82*E11</f>
        <v>0.80359999999999998</v>
      </c>
      <c r="D22" s="242">
        <f>(D$17*E22)</f>
        <v>52.699999999999996</v>
      </c>
      <c r="E22" s="285">
        <f>0.85*E16</f>
        <v>0.85</v>
      </c>
      <c r="F22" s="217">
        <f>B22/D22</f>
        <v>0.18671726755218218</v>
      </c>
      <c r="G22" s="4">
        <f>F22-F21</f>
        <v>8.1126163893914804E-3</v>
      </c>
    </row>
    <row r="23" spans="1:21" s="210" customFormat="1">
      <c r="A23" s="216">
        <f>B23-B22</f>
        <v>2.41</v>
      </c>
      <c r="B23" s="223">
        <f>INT(B$17*C23*100)/100</f>
        <v>12.25</v>
      </c>
      <c r="C23" s="4">
        <v>1</v>
      </c>
      <c r="D23" s="241">
        <f>D$17*E23</f>
        <v>62</v>
      </c>
      <c r="E23" s="283">
        <v>1</v>
      </c>
      <c r="F23" s="217">
        <f>B23/D23</f>
        <v>0.19758064516129031</v>
      </c>
      <c r="G23" s="4">
        <f>F23-F22</f>
        <v>1.0863377609108132E-2</v>
      </c>
      <c r="O23" s="225"/>
      <c r="Q23" s="225"/>
      <c r="S23" s="225"/>
      <c r="U23" s="225"/>
    </row>
    <row r="24" spans="1:21" s="210" customFormat="1">
      <c r="A24" s="216">
        <f>B24-B23</f>
        <v>3.67</v>
      </c>
      <c r="B24" s="223">
        <f>INT(B$17*C24*100)/100</f>
        <v>15.92</v>
      </c>
      <c r="C24" s="4">
        <f>1.3*E12</f>
        <v>1.3</v>
      </c>
      <c r="D24" s="241">
        <f>D$17*E24</f>
        <v>71.3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0.22328190743338008</v>
      </c>
      <c r="G25" s="216"/>
      <c r="O25" s="225"/>
      <c r="Q25" s="225"/>
      <c r="S25" s="225"/>
      <c r="U25" s="225"/>
    </row>
    <row r="26" spans="1:21" s="210" customFormat="1">
      <c r="A26" s="436" t="s">
        <v>14</v>
      </c>
      <c r="B26" s="436"/>
      <c r="C26" s="227">
        <f>INT(M51*1)</f>
        <v>54</v>
      </c>
      <c r="D26" s="4"/>
      <c r="E26" s="4"/>
      <c r="F26" s="228">
        <f>M50/M51</f>
        <v>0.255</v>
      </c>
      <c r="G26" s="4"/>
      <c r="O26" s="225"/>
      <c r="Q26" s="225"/>
      <c r="S26" s="225"/>
      <c r="U26" s="225"/>
    </row>
    <row r="27" spans="1:21" s="210" customFormat="1">
      <c r="A27" s="436" t="s">
        <v>15</v>
      </c>
      <c r="B27" s="436"/>
      <c r="C27" s="229">
        <f>SafeYield!B7</f>
        <v>56.228261236003519</v>
      </c>
      <c r="D27" s="216">
        <f>(C27/D6)*100</f>
        <v>90.690743929037936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90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9.881E-4</v>
      </c>
      <c r="B31" s="277">
        <v>0.1357246</v>
      </c>
      <c r="C31" s="4"/>
      <c r="D31" s="214">
        <f t="shared" ref="D31:D36" si="5">D19</f>
        <v>30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9.881E-4</v>
      </c>
      <c r="B32" s="4">
        <f t="shared" si="6"/>
        <v>0.1357246</v>
      </c>
      <c r="C32" s="4"/>
      <c r="D32" s="214">
        <f t="shared" si="5"/>
        <v>34</v>
      </c>
      <c r="E32" s="4"/>
      <c r="F32" s="230">
        <f>B32*D32/(B32*D32+A32*D32*D32)*100</f>
        <v>80.158634538152612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9.881E-4</v>
      </c>
      <c r="B33" s="4">
        <f t="shared" si="6"/>
        <v>0.1357246</v>
      </c>
      <c r="C33" s="4"/>
      <c r="D33" s="214">
        <f t="shared" si="5"/>
        <v>43</v>
      </c>
      <c r="E33" s="4"/>
      <c r="F33" s="230">
        <f>B33*D33/(B33*D33+A33*D33*D33)*100</f>
        <v>76.158684360110854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9.881E-4</v>
      </c>
      <c r="B34" s="4">
        <f t="shared" si="6"/>
        <v>0.1357246</v>
      </c>
      <c r="C34" s="4"/>
      <c r="D34" s="214">
        <f t="shared" si="5"/>
        <v>52.699999999999996</v>
      </c>
      <c r="E34" s="4"/>
      <c r="F34" s="230">
        <f>B34*D34/(B34*D34+A34*D34*D34)*100</f>
        <v>72.271793650894239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9.881E-4</v>
      </c>
      <c r="B35" s="4">
        <f>B34</f>
        <v>0.1357246</v>
      </c>
      <c r="C35" s="4"/>
      <c r="D35" s="214">
        <f t="shared" si="5"/>
        <v>62</v>
      </c>
      <c r="E35" s="4"/>
      <c r="F35" s="230">
        <f>B35*D35/(B35*D35+A35*D35*D35)*100</f>
        <v>68.900352713988966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71.3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74.372366315786664</v>
      </c>
      <c r="G37" s="4"/>
      <c r="P37" s="263">
        <v>9.881E-4</v>
      </c>
      <c r="Q37" s="263">
        <v>0.40200000000000002</v>
      </c>
    </row>
    <row r="38" spans="1:21" s="210" customFormat="1" ht="13.5" customHeight="1">
      <c r="A38" s="286">
        <v>71.921000000000006</v>
      </c>
      <c r="B38" s="277">
        <v>0.40200000000000002</v>
      </c>
      <c r="C38" s="277">
        <v>93.629000000000005</v>
      </c>
      <c r="D38" s="4"/>
      <c r="E38" s="4" t="s">
        <v>21</v>
      </c>
      <c r="F38" s="4"/>
      <c r="G38" s="4"/>
      <c r="P38" s="263">
        <v>0.1357246</v>
      </c>
      <c r="Q38" s="263">
        <v>93.629000000000005</v>
      </c>
    </row>
    <row r="39" spans="1:21" s="210" customFormat="1" ht="13.5" customHeight="1">
      <c r="A39" s="211"/>
      <c r="B39" s="4" t="s">
        <v>22</v>
      </c>
      <c r="C39" s="216">
        <f>(C38-A38)/B38</f>
        <v>53.999999999999993</v>
      </c>
      <c r="D39" s="4">
        <f>C38-B38*M51</f>
        <v>71.921000000000006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54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37" t="s">
        <v>255</v>
      </c>
      <c r="J44" s="438"/>
      <c r="K44" s="439"/>
      <c r="L44" s="267" t="s">
        <v>30</v>
      </c>
      <c r="M44" s="271">
        <v>200</v>
      </c>
      <c r="N44" s="267" t="s">
        <v>31</v>
      </c>
      <c r="Q44" s="413">
        <v>34</v>
      </c>
      <c r="R44" s="243">
        <v>17.509999999999998</v>
      </c>
      <c r="S44" s="243">
        <v>5.76</v>
      </c>
      <c r="T44" s="244">
        <v>5.9029999999999996</v>
      </c>
      <c r="U44" s="294">
        <v>0.16941176470588235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46" t="s">
        <v>256</v>
      </c>
      <c r="J45" s="447"/>
      <c r="K45" s="448"/>
      <c r="L45" s="267" t="s">
        <v>34</v>
      </c>
      <c r="M45" s="272">
        <v>500</v>
      </c>
      <c r="N45" s="272">
        <f>M44</f>
        <v>200</v>
      </c>
      <c r="Q45" s="413">
        <v>43</v>
      </c>
      <c r="R45" s="243">
        <v>19.43</v>
      </c>
      <c r="S45" s="243">
        <v>7.68</v>
      </c>
      <c r="T45" s="244">
        <v>5.5990000000000002</v>
      </c>
      <c r="U45" s="294">
        <v>0.1786046511627907</v>
      </c>
    </row>
    <row r="46" spans="1:21" s="210" customFormat="1" ht="16.5">
      <c r="A46" s="4">
        <f>B34</f>
        <v>0.1357246</v>
      </c>
      <c r="B46" s="408" t="s">
        <v>35</v>
      </c>
      <c r="C46" s="440" t="s">
        <v>36</v>
      </c>
      <c r="D46" s="440"/>
      <c r="E46" s="4"/>
      <c r="F46" s="4"/>
      <c r="G46" s="4"/>
      <c r="H46" s="267" t="s">
        <v>37</v>
      </c>
      <c r="I46" s="437" t="s">
        <v>254</v>
      </c>
      <c r="J46" s="438"/>
      <c r="K46" s="439"/>
      <c r="L46" s="267" t="s">
        <v>38</v>
      </c>
      <c r="M46" s="235">
        <f>IF(I52&gt;M48, M45-I52,M45-M48)</f>
        <v>470</v>
      </c>
      <c r="N46" s="12"/>
      <c r="Q46" s="413">
        <v>53</v>
      </c>
      <c r="R46" s="243">
        <v>21.59</v>
      </c>
      <c r="S46" s="243">
        <v>9.84</v>
      </c>
      <c r="T46" s="244">
        <v>5.3559999999999999</v>
      </c>
      <c r="U46" s="294">
        <v>0.18671726755218218</v>
      </c>
    </row>
    <row r="47" spans="1:21" s="210" customFormat="1" ht="16.5">
      <c r="A47" s="4">
        <f>120/1440</f>
        <v>8.3333333333333329E-2</v>
      </c>
      <c r="B47" s="408" t="s">
        <v>39</v>
      </c>
      <c r="C47" s="440" t="s">
        <v>40</v>
      </c>
      <c r="D47" s="440"/>
      <c r="E47" s="4"/>
      <c r="F47" s="4"/>
      <c r="G47" s="4"/>
      <c r="H47" s="267" t="s">
        <v>41</v>
      </c>
      <c r="I47" s="449" t="s">
        <v>223</v>
      </c>
      <c r="J47" s="450"/>
      <c r="K47" s="451"/>
      <c r="L47" s="267" t="s">
        <v>42</v>
      </c>
      <c r="M47" s="236">
        <f>INT((M51*100)/M53)</f>
        <v>62</v>
      </c>
      <c r="N47" s="12"/>
      <c r="Q47" s="413">
        <v>62</v>
      </c>
      <c r="R47" s="243">
        <v>24</v>
      </c>
      <c r="S47" s="243">
        <v>12.25</v>
      </c>
      <c r="T47" s="244">
        <v>5.0609999999999999</v>
      </c>
      <c r="U47" s="294">
        <v>0.19758064516129031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41" t="s">
        <v>257</v>
      </c>
      <c r="K48" s="441"/>
      <c r="L48" s="267" t="s">
        <v>44</v>
      </c>
      <c r="M48" s="273">
        <v>11.75</v>
      </c>
      <c r="N48" s="12"/>
      <c r="Q48" s="414">
        <v>71</v>
      </c>
      <c r="R48" s="295">
        <v>27.67</v>
      </c>
      <c r="S48" s="295">
        <v>15.92</v>
      </c>
      <c r="T48" s="296">
        <v>4.4790000000000001</v>
      </c>
      <c r="U48" s="297">
        <v>0.22328190743338008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42" t="str">
        <f>I45</f>
        <v>잠실 푸르지오 발라드</v>
      </c>
      <c r="J49" s="442"/>
      <c r="K49" s="442"/>
      <c r="L49" s="267" t="s">
        <v>48</v>
      </c>
      <c r="M49" s="273">
        <v>25.52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42"/>
      <c r="J50" s="442"/>
      <c r="K50" s="442"/>
      <c r="L50" s="267" t="s">
        <v>50</v>
      </c>
      <c r="M50" s="237">
        <f>M49-M48</f>
        <v>13.77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43"/>
      <c r="J51" s="444"/>
      <c r="K51" s="445"/>
      <c r="L51" s="212" t="s">
        <v>52</v>
      </c>
      <c r="M51" s="238">
        <v>54</v>
      </c>
      <c r="N51" s="12"/>
      <c r="O51" s="210">
        <f>M51</f>
        <v>54</v>
      </c>
      <c r="P51" s="208">
        <f>ROUND((O51/O52)*100,1)</f>
        <v>62.1</v>
      </c>
    </row>
    <row r="52" spans="1:24" s="210" customFormat="1" ht="16.5">
      <c r="A52" s="211" t="s">
        <v>53</v>
      </c>
      <c r="B52" s="408">
        <f>INT(10^((INT(5.46*A44*A46*1000))/1000)*1000)/1000</f>
        <v>6.2661386467234048E+29</v>
      </c>
      <c r="C52" s="408">
        <f>INT(B52*B51*1000)/1000</f>
        <v>3.1330693233617027E+26</v>
      </c>
      <c r="D52" s="409"/>
      <c r="E52" s="4"/>
      <c r="F52" s="4"/>
      <c r="G52" s="4"/>
      <c r="H52" s="268" t="s">
        <v>54</v>
      </c>
      <c r="I52" s="290">
        <v>30</v>
      </c>
      <c r="J52" s="265" t="s">
        <v>55</v>
      </c>
      <c r="K52" s="213">
        <v>0</v>
      </c>
      <c r="L52" s="264" t="s">
        <v>56</v>
      </c>
      <c r="M52" s="235">
        <f>INT(M50*0.89*100)/100</f>
        <v>12.25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35" t="s">
        <v>243</v>
      </c>
      <c r="J53" s="435"/>
      <c r="K53" s="435"/>
      <c r="L53" s="435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258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52" t="s">
        <v>62</v>
      </c>
      <c r="E57" s="468"/>
      <c r="F57" s="452" t="s">
        <v>61</v>
      </c>
      <c r="G57" s="468"/>
      <c r="H57" s="393" t="s">
        <v>63</v>
      </c>
      <c r="I57" s="394">
        <f>M50</f>
        <v>13.77</v>
      </c>
      <c r="J57" s="393" t="s">
        <v>64</v>
      </c>
      <c r="K57" s="393" t="s">
        <v>65</v>
      </c>
      <c r="L57" s="452" t="s">
        <v>66</v>
      </c>
      <c r="M57" s="453"/>
    </row>
    <row r="58" spans="1:24" s="210" customFormat="1" ht="18" customHeight="1">
      <c r="A58" s="274" t="s">
        <v>67</v>
      </c>
      <c r="B58" s="395">
        <v>40.21</v>
      </c>
      <c r="C58" s="265"/>
      <c r="D58" s="454">
        <v>0.22439999999999999</v>
      </c>
      <c r="E58" s="455"/>
      <c r="F58" s="454"/>
      <c r="G58" s="455"/>
      <c r="H58" s="265" t="s">
        <v>68</v>
      </c>
      <c r="I58" s="396">
        <f>C62/M46</f>
        <v>9.6638297872340434E-2</v>
      </c>
      <c r="J58" s="265" t="s">
        <v>69</v>
      </c>
      <c r="K58" s="397">
        <f>INT((6*I57*I58*I60/I59)^0.5)</f>
        <v>5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56">
        <f>B59</f>
        <v>59.61</v>
      </c>
      <c r="D59" s="458">
        <v>0.15190000000000001</v>
      </c>
      <c r="E59" s="459"/>
      <c r="F59" s="460">
        <f>INT((D59+D60)/1*10000000)/10000000</f>
        <v>0.15190000000000001</v>
      </c>
      <c r="G59" s="461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6</v>
      </c>
      <c r="L59" s="397"/>
      <c r="M59" s="399"/>
    </row>
    <row r="60" spans="1:24" s="210" customFormat="1" ht="18" customHeight="1">
      <c r="A60" s="274" t="s">
        <v>74</v>
      </c>
      <c r="B60" s="395"/>
      <c r="C60" s="457"/>
      <c r="D60" s="458"/>
      <c r="E60" s="459"/>
      <c r="F60" s="462"/>
      <c r="G60" s="463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54"/>
      <c r="E61" s="455"/>
      <c r="F61" s="454"/>
      <c r="G61" s="455"/>
      <c r="H61" s="265" t="s">
        <v>28</v>
      </c>
      <c r="I61" s="265">
        <f>C62</f>
        <v>45.42</v>
      </c>
      <c r="J61" s="265" t="s">
        <v>77</v>
      </c>
      <c r="K61" s="397">
        <f>((K58+K59+K60)/3)</f>
        <v>9.7803041705294245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64"/>
      <c r="E62" s="465"/>
      <c r="F62" s="466">
        <f>F59</f>
        <v>0.15190000000000001</v>
      </c>
      <c r="G62" s="467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259</v>
      </c>
      <c r="R64" s="288" t="s">
        <v>260</v>
      </c>
      <c r="S64" s="288" t="s">
        <v>261</v>
      </c>
      <c r="T64" s="288" t="s">
        <v>262</v>
      </c>
      <c r="U64" s="288" t="s">
        <v>263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N16" sqref="N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잠실 푸르지오 발라드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- 3</v>
      </c>
      <c r="C2" s="18" t="str">
        <f>Input!I46</f>
        <v>서울특별시 송파구 방이동 28-3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1.3514598577653809</v>
      </c>
      <c r="C4" s="320">
        <f>LongTest!B10</f>
        <v>54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0.1357246</v>
      </c>
      <c r="I4" s="315">
        <f>Input!M48</f>
        <v>11.75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2.738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0.4305491168817796</v>
      </c>
      <c r="D6" s="246"/>
      <c r="E6" s="245">
        <f>1.15*LOG((2.25*D5*(1/1440))/(F4*E4^2))</f>
        <v>3.3721259852997743</v>
      </c>
      <c r="F6" s="247" t="s">
        <v>121</v>
      </c>
      <c r="G6" s="428">
        <f>C6-E6</f>
        <v>-2.9415768684179948</v>
      </c>
      <c r="H6" s="36"/>
      <c r="I6" s="315">
        <f>Input!M49</f>
        <v>25.52</v>
      </c>
      <c r="J6" s="308">
        <f>MAX(C13,C18,C23)</f>
        <v>103.5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1.1847575105683269E-2</v>
      </c>
      <c r="G7" s="248" t="s">
        <v>124</v>
      </c>
      <c r="H7" s="36">
        <f>F4*EXP(4*G4*D4*H4)</f>
        <v>1.1830453996597752E-2</v>
      </c>
      <c r="I7" s="323" t="s">
        <v>125</v>
      </c>
      <c r="J7" s="309">
        <f>ROUND((C13+C18+C23)/3,1)</f>
        <v>55.9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1.895</v>
      </c>
      <c r="D8" s="252"/>
      <c r="E8" s="252"/>
      <c r="F8" s="253"/>
      <c r="G8" s="252"/>
      <c r="H8" s="254"/>
      <c r="I8" s="324">
        <f>Input!M45</f>
        <v>500</v>
      </c>
      <c r="J8" s="304" t="s">
        <v>240</v>
      </c>
      <c r="K8" s="310">
        <f>ROUND(SQRT(C7/F7),4)</f>
        <v>5.4181999999999997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5.4222000000000001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13.439611232529069</v>
      </c>
      <c r="D10" s="25" t="s">
        <v>236</v>
      </c>
      <c r="E10" s="301">
        <v>0.1002</v>
      </c>
      <c r="H10" s="255" t="s">
        <v>214</v>
      </c>
      <c r="I10" s="261">
        <f>Input!I52</f>
        <v>30</v>
      </c>
      <c r="J10" s="305" t="s">
        <v>242</v>
      </c>
      <c r="K10" s="312">
        <f>ROUND(E4*SQRT(E10/F4),4)</f>
        <v>1.4156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12.08038876747093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28.9</v>
      </c>
      <c r="D13" s="26"/>
      <c r="E13" s="430" t="s">
        <v>251</v>
      </c>
      <c r="F13" s="331">
        <f>D5</f>
        <v>2.738</v>
      </c>
      <c r="G13" s="430" t="s">
        <v>250</v>
      </c>
      <c r="H13" s="302">
        <v>2.1669999999999998</v>
      </c>
      <c r="I13" s="329">
        <v>18.18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13.77</v>
      </c>
      <c r="C16" s="256">
        <f>I8-IF(I4&gt;I10,I4,I10)</f>
        <v>470</v>
      </c>
      <c r="D16" s="258">
        <f>(F13+H13)/2</f>
        <v>2.4524999999999997</v>
      </c>
      <c r="E16" s="31">
        <f>INT(D16/C16*100000)/100000</f>
        <v>5.2100000000000002E-3</v>
      </c>
      <c r="F16" s="32">
        <v>1440</v>
      </c>
      <c r="G16" s="260">
        <v>780</v>
      </c>
      <c r="H16" s="258">
        <f>INT(G16/F16*10000)/10000</f>
        <v>0.54159999999999997</v>
      </c>
      <c r="I16" s="303">
        <v>2.789E-4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35.4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13.77</v>
      </c>
      <c r="C21" s="257">
        <f t="shared" si="0"/>
        <v>470</v>
      </c>
      <c r="D21" s="32">
        <f t="shared" si="0"/>
        <v>2.4524999999999997</v>
      </c>
      <c r="E21" s="258">
        <f t="shared" si="0"/>
        <v>5.2100000000000002E-3</v>
      </c>
      <c r="F21" s="32">
        <f t="shared" si="0"/>
        <v>1440</v>
      </c>
      <c r="G21" s="32">
        <f>G16</f>
        <v>780</v>
      </c>
      <c r="H21" s="32">
        <f t="shared" si="0"/>
        <v>0.54159999999999997</v>
      </c>
      <c r="I21" s="38">
        <f t="shared" si="0"/>
        <v>2.789E-4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103.5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13.77</v>
      </c>
      <c r="C26" s="32">
        <f t="shared" si="1"/>
        <v>470</v>
      </c>
      <c r="D26" s="32">
        <f t="shared" si="1"/>
        <v>2.4524999999999997</v>
      </c>
      <c r="E26" s="31">
        <f t="shared" si="1"/>
        <v>5.2100000000000002E-3</v>
      </c>
      <c r="F26" s="32">
        <f t="shared" si="1"/>
        <v>1440</v>
      </c>
      <c r="G26" s="32">
        <f t="shared" si="1"/>
        <v>780</v>
      </c>
      <c r="H26" s="258">
        <f>INT(G16/F16*10000)/10000</f>
        <v>0.54159999999999997</v>
      </c>
      <c r="I26" s="38">
        <f t="shared" si="1"/>
        <v>2.789E-4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2.4524999999999997</v>
      </c>
      <c r="D28" s="426">
        <f>(C28/C16)*(100/86400)</f>
        <v>6.0394503546099277E-6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2.789E-4</v>
      </c>
      <c r="D29" s="16">
        <f>(C28*100)/(C16*86400)</f>
        <v>6.0394503546099286E-6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55.933333333333337</v>
      </c>
      <c r="D30" s="15"/>
      <c r="E30" s="420">
        <f>(C13+C18)/2</f>
        <v>32.15</v>
      </c>
      <c r="F30" s="421">
        <f>MAX(C13,C18)</f>
        <v>35.4</v>
      </c>
      <c r="G30" s="422">
        <f>ROUND(C4/(G4*F30^2*I16),3)</f>
        <v>49.18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34</v>
      </c>
    </row>
    <row r="3" spans="1:2" ht="20.100000000000001" customHeight="1">
      <c r="A3" s="43" t="s">
        <v>146</v>
      </c>
      <c r="B3" s="199">
        <f>StepTest!G31</f>
        <v>5.76</v>
      </c>
    </row>
    <row r="4" spans="1:2" ht="20.100000000000001" customHeight="1">
      <c r="A4" s="43" t="s">
        <v>147</v>
      </c>
      <c r="B4" s="200">
        <f>StepTest!G46</f>
        <v>12.25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56.228261236003519</v>
      </c>
    </row>
    <row r="8" spans="1:2" ht="20.100000000000001" customHeight="1">
      <c r="A8" s="43" t="s">
        <v>150</v>
      </c>
      <c r="B8" s="200">
        <f>INT(B7)</f>
        <v>56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0.90322580645161288</v>
      </c>
    </row>
    <row r="12" spans="1:2" ht="17.25" thickBot="1"/>
    <row r="13" spans="1:2" ht="24.95" customHeight="1">
      <c r="A13" s="45" t="s">
        <v>151</v>
      </c>
      <c r="B13" s="202">
        <f>Input!$D$6</f>
        <v>62</v>
      </c>
    </row>
    <row r="14" spans="1:2" ht="24.95" customHeight="1">
      <c r="A14" s="46" t="s">
        <v>52</v>
      </c>
      <c r="B14" s="203">
        <f>B8</f>
        <v>56</v>
      </c>
    </row>
    <row r="15" spans="1:2" ht="24.95" customHeight="1" thickBot="1">
      <c r="A15" s="47" t="s">
        <v>152</v>
      </c>
      <c r="B15" s="204">
        <f>Input!$M$51</f>
        <v>54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R23" sqref="R23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잠실 푸르지오 발라드 신축현장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34</v>
      </c>
      <c r="S4" s="52">
        <f>$R$4</f>
        <v>34</v>
      </c>
      <c r="T4" s="344">
        <v>2.7210957752279876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6.6997789843247544</v>
      </c>
      <c r="Z4" s="59">
        <f>Z22</f>
        <v>5.6947230248411387</v>
      </c>
      <c r="AA4" s="58">
        <f>$Z$4</f>
        <v>5.6947230248411387</v>
      </c>
      <c r="AB4" s="58">
        <f>X4</f>
        <v>1</v>
      </c>
      <c r="AC4" s="58">
        <f>Y4-AA4</f>
        <v>1.0050559594836157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잠실 푸르지오 발라드</v>
      </c>
      <c r="D5" s="347"/>
      <c r="E5" s="347"/>
      <c r="F5" s="351"/>
      <c r="G5" s="347"/>
      <c r="H5" s="352" t="str">
        <f>Input!J48</f>
        <v>공  번 : W - 3</v>
      </c>
      <c r="I5" s="353"/>
      <c r="P5" s="52">
        <v>2</v>
      </c>
      <c r="Q5" s="416"/>
      <c r="S5" s="52">
        <f t="shared" ref="S5:S23" si="3">$R$4</f>
        <v>34</v>
      </c>
      <c r="T5" s="52">
        <f>$T4</f>
        <v>2.7210957752279876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7.388213812514973</v>
      </c>
      <c r="AA5" s="58">
        <f t="shared" ref="AA5:AA23" si="5">$Z$4</f>
        <v>5.6947230248411387</v>
      </c>
      <c r="AB5" s="58">
        <f t="shared" ref="AB5:AB43" si="6">X5</f>
        <v>2</v>
      </c>
      <c r="AC5" s="58">
        <f t="shared" ref="AC5:AC43" si="7">Y5-AA5</f>
        <v>1.6934907876738343</v>
      </c>
      <c r="AD5" s="60">
        <f t="shared" ref="AD5:AD16" si="8">INT((AC5-AE5)*100)/100</f>
        <v>1.69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송파구 방이동 28-3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34</v>
      </c>
      <c r="T6" s="52">
        <f t="shared" ref="T6:T51" si="10">$T5</f>
        <v>2.7210957752279876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7.7909223711966611</v>
      </c>
      <c r="AA6" s="58">
        <f t="shared" si="5"/>
        <v>5.6947230248411387</v>
      </c>
      <c r="AB6" s="58">
        <f t="shared" si="6"/>
        <v>3</v>
      </c>
      <c r="AC6" s="58">
        <f t="shared" si="7"/>
        <v>2.0961993463555224</v>
      </c>
      <c r="AD6" s="60">
        <f t="shared" si="8"/>
        <v>2.09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잠실 푸르지오 발라드</v>
      </c>
      <c r="H7" s="359"/>
      <c r="I7" s="360"/>
      <c r="P7" s="52">
        <v>4</v>
      </c>
      <c r="Q7" s="416"/>
      <c r="S7" s="52">
        <f t="shared" si="3"/>
        <v>34</v>
      </c>
      <c r="T7" s="52">
        <f t="shared" si="10"/>
        <v>2.7210957752279876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8.0766486407051907</v>
      </c>
      <c r="AA7" s="58">
        <f t="shared" si="5"/>
        <v>5.6947230248411387</v>
      </c>
      <c r="AB7" s="58">
        <f t="shared" si="6"/>
        <v>4</v>
      </c>
      <c r="AC7" s="58">
        <f t="shared" si="7"/>
        <v>2.381925615864052</v>
      </c>
      <c r="AD7" s="60">
        <f t="shared" si="8"/>
        <v>2.38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잠실 푸르지오 발라드</v>
      </c>
      <c r="H8" s="359"/>
      <c r="I8" s="363"/>
      <c r="K8" s="63"/>
      <c r="P8" s="52">
        <v>5</v>
      </c>
      <c r="Q8" s="416"/>
      <c r="S8" s="52">
        <f t="shared" si="3"/>
        <v>34</v>
      </c>
      <c r="T8" s="52">
        <f t="shared" si="10"/>
        <v>2.7210957752279876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8.2982751533985759</v>
      </c>
      <c r="AA8" s="58">
        <f t="shared" si="5"/>
        <v>5.6947230248411387</v>
      </c>
      <c r="AB8" s="58">
        <f t="shared" si="6"/>
        <v>5</v>
      </c>
      <c r="AC8" s="58">
        <f t="shared" si="7"/>
        <v>2.6035521285574372</v>
      </c>
      <c r="AD8" s="60">
        <f t="shared" si="8"/>
        <v>2.6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500</v>
      </c>
      <c r="H9" s="476"/>
      <c r="I9" s="345"/>
      <c r="P9" s="52">
        <v>10</v>
      </c>
      <c r="Q9" s="416"/>
      <c r="S9" s="52">
        <f t="shared" si="3"/>
        <v>34</v>
      </c>
      <c r="T9" s="52">
        <f t="shared" si="10"/>
        <v>2.7210957752279876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8.9867099815887936</v>
      </c>
      <c r="AA9" s="58">
        <f t="shared" si="5"/>
        <v>5.6947230248411387</v>
      </c>
      <c r="AB9" s="58">
        <f t="shared" si="6"/>
        <v>10</v>
      </c>
      <c r="AC9" s="58">
        <f t="shared" si="7"/>
        <v>3.291986956747655</v>
      </c>
      <c r="AD9" s="60">
        <f t="shared" si="8"/>
        <v>3.29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11.75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34</v>
      </c>
      <c r="T10" s="52">
        <f t="shared" si="10"/>
        <v>2.7210957752279876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9.3894185402704835</v>
      </c>
      <c r="AA10" s="58">
        <f t="shared" si="5"/>
        <v>5.6947230248411387</v>
      </c>
      <c r="AB10" s="58">
        <f t="shared" si="6"/>
        <v>15</v>
      </c>
      <c r="AC10" s="58">
        <f t="shared" si="7"/>
        <v>3.6946955154293448</v>
      </c>
      <c r="AD10" s="60">
        <f t="shared" si="8"/>
        <v>3.69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0.31000000000000005</v>
      </c>
      <c r="P11" s="52">
        <v>20</v>
      </c>
      <c r="Q11" s="416"/>
      <c r="S11" s="52">
        <f t="shared" si="3"/>
        <v>34</v>
      </c>
      <c r="T11" s="52">
        <f t="shared" si="10"/>
        <v>2.7210957752279876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9.6751448097790131</v>
      </c>
      <c r="AA11" s="58">
        <f t="shared" si="5"/>
        <v>5.6947230248411387</v>
      </c>
      <c r="AB11" s="58">
        <f t="shared" si="6"/>
        <v>20</v>
      </c>
      <c r="AC11" s="58">
        <f t="shared" si="7"/>
        <v>3.9804217849378745</v>
      </c>
      <c r="AD11" s="60">
        <f t="shared" si="8"/>
        <v>3.98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34</v>
      </c>
      <c r="C12" s="369">
        <v>44992.479166666664</v>
      </c>
      <c r="D12" s="469">
        <v>1</v>
      </c>
      <c r="E12" s="469"/>
      <c r="F12" s="370">
        <f>G12+$D$10</f>
        <v>12.75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34</v>
      </c>
      <c r="T12" s="52">
        <f t="shared" si="10"/>
        <v>2.7210957752279876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9.8967713224723983</v>
      </c>
      <c r="AA12" s="58">
        <f t="shared" si="5"/>
        <v>5.6947230248411387</v>
      </c>
      <c r="AB12" s="58">
        <f t="shared" si="6"/>
        <v>25</v>
      </c>
      <c r="AC12" s="58">
        <f t="shared" si="7"/>
        <v>4.2020482976312596</v>
      </c>
      <c r="AD12" s="60">
        <f t="shared" si="8"/>
        <v>4.2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13.44</v>
      </c>
      <c r="G13" s="470">
        <f t="shared" ref="G13:G51" si="14">AD5</f>
        <v>1.69</v>
      </c>
      <c r="H13" s="470"/>
      <c r="I13" s="371"/>
      <c r="J13" s="372">
        <f>G13-G12</f>
        <v>0.69</v>
      </c>
      <c r="P13" s="52">
        <v>30</v>
      </c>
      <c r="Q13" s="416"/>
      <c r="S13" s="52">
        <f t="shared" si="3"/>
        <v>34</v>
      </c>
      <c r="T13" s="52">
        <f t="shared" si="10"/>
        <v>2.7210957752279876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10.077853368460703</v>
      </c>
      <c r="AA13" s="58">
        <f t="shared" si="5"/>
        <v>5.6947230248411387</v>
      </c>
      <c r="AB13" s="58">
        <f t="shared" si="6"/>
        <v>30</v>
      </c>
      <c r="AC13" s="58">
        <f t="shared" si="7"/>
        <v>4.3831303436195643</v>
      </c>
      <c r="AD13" s="60">
        <f t="shared" si="8"/>
        <v>4.38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13.84</v>
      </c>
      <c r="G14" s="470">
        <f t="shared" si="14"/>
        <v>2.09</v>
      </c>
      <c r="H14" s="470"/>
      <c r="I14" s="371"/>
      <c r="J14" s="372">
        <f t="shared" ref="J14:J51" si="15">G14-G13</f>
        <v>0.39999999999999991</v>
      </c>
      <c r="Q14" s="416"/>
      <c r="S14" s="52">
        <f t="shared" si="3"/>
        <v>34</v>
      </c>
      <c r="T14" s="52">
        <f t="shared" si="10"/>
        <v>2.7210957752279876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10.230956056834266</v>
      </c>
      <c r="AA14" s="58">
        <f t="shared" si="5"/>
        <v>5.6947230248411387</v>
      </c>
      <c r="AB14" s="58">
        <f t="shared" si="6"/>
        <v>35</v>
      </c>
      <c r="AC14" s="58">
        <f t="shared" si="7"/>
        <v>4.5362330319931274</v>
      </c>
      <c r="AD14" s="60">
        <f t="shared" si="8"/>
        <v>4.53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14.129999999999999</v>
      </c>
      <c r="G15" s="470">
        <f t="shared" si="14"/>
        <v>2.38</v>
      </c>
      <c r="H15" s="470"/>
      <c r="I15" s="371"/>
      <c r="J15" s="372">
        <f t="shared" si="15"/>
        <v>0.29000000000000004</v>
      </c>
      <c r="Q15" s="416"/>
      <c r="S15" s="52">
        <f t="shared" si="3"/>
        <v>34</v>
      </c>
      <c r="T15" s="52">
        <f t="shared" si="10"/>
        <v>2.7210957752279876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10.363579637969231</v>
      </c>
      <c r="AA15" s="58">
        <f t="shared" si="5"/>
        <v>5.6947230248411387</v>
      </c>
      <c r="AB15" s="58">
        <f t="shared" si="6"/>
        <v>40</v>
      </c>
      <c r="AC15" s="58">
        <f t="shared" si="7"/>
        <v>4.6688566131280922</v>
      </c>
      <c r="AD15" s="60">
        <f t="shared" si="8"/>
        <v>4.66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14.35</v>
      </c>
      <c r="G16" s="470">
        <f t="shared" si="14"/>
        <v>2.6</v>
      </c>
      <c r="H16" s="470"/>
      <c r="I16" s="371"/>
      <c r="J16" s="372">
        <f t="shared" si="15"/>
        <v>0.2200000000000002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34</v>
      </c>
      <c r="T16" s="52">
        <f t="shared" si="10"/>
        <v>2.7210957752279876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10.480561927142391</v>
      </c>
      <c r="AA16" s="58">
        <f t="shared" si="5"/>
        <v>5.6947230248411387</v>
      </c>
      <c r="AB16" s="58">
        <f t="shared" si="6"/>
        <v>45</v>
      </c>
      <c r="AC16" s="58">
        <f t="shared" si="7"/>
        <v>4.7858389023012524</v>
      </c>
      <c r="AD16" s="60">
        <f t="shared" si="8"/>
        <v>4.78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15.04</v>
      </c>
      <c r="G17" s="470">
        <f t="shared" si="14"/>
        <v>3.29</v>
      </c>
      <c r="H17" s="470"/>
      <c r="I17" s="371"/>
      <c r="J17" s="372">
        <f t="shared" si="15"/>
        <v>0.69</v>
      </c>
      <c r="K17" s="417">
        <f>D12</f>
        <v>1</v>
      </c>
      <c r="L17" s="418">
        <f>INT(B12/1440*10000)/10000</f>
        <v>2.3599999999999999E-2</v>
      </c>
      <c r="M17" s="418">
        <f>K17*L17</f>
        <v>2.3599999999999999E-2</v>
      </c>
      <c r="N17" s="418">
        <f>INT((D9/2000)^2*3.14159*100000)/100000</f>
        <v>3.141E-2</v>
      </c>
      <c r="O17" s="418">
        <f>INT(M17/N17*100)/100</f>
        <v>0.75</v>
      </c>
      <c r="P17" s="419">
        <f>INT((G12-O17)*100)/100</f>
        <v>0.25</v>
      </c>
      <c r="S17" s="52">
        <f t="shared" si="3"/>
        <v>34</v>
      </c>
      <c r="T17" s="52">
        <f t="shared" si="10"/>
        <v>2.7210957752279876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10.585206150662616</v>
      </c>
      <c r="AA17" s="58">
        <f t="shared" si="5"/>
        <v>5.6947230248411387</v>
      </c>
      <c r="AB17" s="58">
        <f t="shared" si="6"/>
        <v>50</v>
      </c>
      <c r="AC17" s="58">
        <f t="shared" si="7"/>
        <v>4.8904831258214774</v>
      </c>
      <c r="AD17" s="60">
        <f t="shared" ref="AD17:AD22" si="16">INT(AC17*100)/100</f>
        <v>4.8899999999999997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15.44</v>
      </c>
      <c r="G18" s="470">
        <f t="shared" si="14"/>
        <v>3.69</v>
      </c>
      <c r="H18" s="470"/>
      <c r="I18" s="371"/>
      <c r="J18" s="372">
        <f t="shared" si="15"/>
        <v>0.39999999999999991</v>
      </c>
      <c r="K18" s="417">
        <f>D13</f>
        <v>2</v>
      </c>
      <c r="L18" s="418">
        <f>L17</f>
        <v>2.3599999999999999E-2</v>
      </c>
      <c r="M18" s="418">
        <f t="shared" ref="M18:M32" si="17">K18*L18</f>
        <v>4.7199999999999999E-2</v>
      </c>
      <c r="N18" s="418">
        <f>N17</f>
        <v>3.141E-2</v>
      </c>
      <c r="O18" s="418">
        <f>INT(M18/N18*100)/100</f>
        <v>1.5</v>
      </c>
      <c r="P18" s="419">
        <f>INT((G13-O18)*100*0.98)/100</f>
        <v>0.18</v>
      </c>
      <c r="S18" s="52">
        <f t="shared" si="3"/>
        <v>34</v>
      </c>
      <c r="T18" s="52">
        <f t="shared" si="10"/>
        <v>2.7210957752279876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10.679868365410952</v>
      </c>
      <c r="AA18" s="58">
        <f t="shared" si="5"/>
        <v>5.6947230248411387</v>
      </c>
      <c r="AB18" s="58">
        <f t="shared" si="6"/>
        <v>55</v>
      </c>
      <c r="AC18" s="58">
        <f t="shared" si="7"/>
        <v>4.9851453405698134</v>
      </c>
      <c r="AD18" s="60">
        <f t="shared" si="16"/>
        <v>4.9800000000000004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15.73</v>
      </c>
      <c r="G19" s="470">
        <f t="shared" si="14"/>
        <v>3.98</v>
      </c>
      <c r="H19" s="470"/>
      <c r="I19" s="371"/>
      <c r="J19" s="372">
        <f t="shared" si="15"/>
        <v>0.29000000000000004</v>
      </c>
      <c r="K19" s="417">
        <f t="shared" ref="K19:K32" si="18">D14</f>
        <v>3</v>
      </c>
      <c r="L19" s="418">
        <f>L18</f>
        <v>2.3599999999999999E-2</v>
      </c>
      <c r="M19" s="418">
        <f t="shared" si="17"/>
        <v>7.0800000000000002E-2</v>
      </c>
      <c r="N19" s="418">
        <f t="shared" ref="N19:N32" si="19">N18</f>
        <v>3.141E-2</v>
      </c>
      <c r="O19" s="418">
        <f>INT(M19/N19*100)/100</f>
        <v>2.25</v>
      </c>
      <c r="P19" s="419">
        <f>INT((G14-O19)*100*0.95)/100</f>
        <v>-0.16</v>
      </c>
      <c r="S19" s="52">
        <f t="shared" si="3"/>
        <v>34</v>
      </c>
      <c r="T19" s="52">
        <f t="shared" si="10"/>
        <v>2.7210957752279876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10.766288196650921</v>
      </c>
      <c r="AA19" s="58">
        <f t="shared" si="5"/>
        <v>5.6947230248411387</v>
      </c>
      <c r="AB19" s="58">
        <f t="shared" si="6"/>
        <v>60</v>
      </c>
      <c r="AC19" s="58">
        <f t="shared" si="7"/>
        <v>5.0715651718097821</v>
      </c>
      <c r="AD19" s="60">
        <f t="shared" si="16"/>
        <v>5.07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15.95</v>
      </c>
      <c r="G20" s="470">
        <f t="shared" si="14"/>
        <v>4.2</v>
      </c>
      <c r="H20" s="470"/>
      <c r="I20" s="371"/>
      <c r="J20" s="372">
        <f t="shared" si="15"/>
        <v>0.2200000000000002</v>
      </c>
      <c r="K20" s="417">
        <f t="shared" si="18"/>
        <v>4</v>
      </c>
      <c r="L20" s="418">
        <f>L19</f>
        <v>2.3599999999999999E-2</v>
      </c>
      <c r="M20" s="418">
        <f t="shared" si="17"/>
        <v>9.4399999999999998E-2</v>
      </c>
      <c r="N20" s="418">
        <f t="shared" si="19"/>
        <v>3.141E-2</v>
      </c>
      <c r="O20" s="418">
        <f>INT(M20/N20*100)/100</f>
        <v>3</v>
      </c>
      <c r="P20" s="419">
        <f>INT((G15-O20)*100*0.91)/100</f>
        <v>-0.56999999999999995</v>
      </c>
      <c r="S20" s="52">
        <f t="shared" si="3"/>
        <v>34</v>
      </c>
      <c r="T20" s="52">
        <f t="shared" si="10"/>
        <v>2.7210957752279876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10.987914709344306</v>
      </c>
      <c r="AA20" s="58">
        <f t="shared" si="5"/>
        <v>5.6947230248411387</v>
      </c>
      <c r="AB20" s="58">
        <f t="shared" si="6"/>
        <v>75</v>
      </c>
      <c r="AC20" s="58">
        <f t="shared" si="7"/>
        <v>5.2931916845031672</v>
      </c>
      <c r="AD20" s="60">
        <f t="shared" si="16"/>
        <v>5.29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16.13</v>
      </c>
      <c r="G21" s="470">
        <f t="shared" si="14"/>
        <v>4.38</v>
      </c>
      <c r="H21" s="470"/>
      <c r="I21" s="371"/>
      <c r="J21" s="372">
        <f t="shared" si="15"/>
        <v>0.17999999999999972</v>
      </c>
      <c r="K21" s="417">
        <f t="shared" si="18"/>
        <v>5</v>
      </c>
      <c r="L21" s="417">
        <f>L20</f>
        <v>2.3599999999999999E-2</v>
      </c>
      <c r="M21" s="418">
        <f t="shared" si="17"/>
        <v>0.11799999999999999</v>
      </c>
      <c r="N21" s="418">
        <f t="shared" si="19"/>
        <v>3.141E-2</v>
      </c>
      <c r="O21" s="417">
        <f>INT(M21/N21*100)/100</f>
        <v>3.75</v>
      </c>
      <c r="P21" s="419">
        <f>INT((G16-O21)*100*0.86)/100</f>
        <v>-0.99</v>
      </c>
      <c r="S21" s="52">
        <f t="shared" si="3"/>
        <v>34</v>
      </c>
      <c r="T21" s="52">
        <f t="shared" si="10"/>
        <v>2.7210957752279876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11.168996755332611</v>
      </c>
      <c r="AA21" s="58">
        <f t="shared" si="5"/>
        <v>5.6947230248411387</v>
      </c>
      <c r="AB21" s="58">
        <f t="shared" si="6"/>
        <v>90</v>
      </c>
      <c r="AC21" s="58">
        <f t="shared" si="7"/>
        <v>5.4742737304914719</v>
      </c>
      <c r="AD21" s="60">
        <f t="shared" si="16"/>
        <v>5.47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16.28</v>
      </c>
      <c r="G22" s="470">
        <f t="shared" si="14"/>
        <v>4.53</v>
      </c>
      <c r="H22" s="470"/>
      <c r="I22" s="345"/>
      <c r="J22" s="372">
        <f t="shared" si="15"/>
        <v>0.15000000000000036</v>
      </c>
      <c r="K22" s="417">
        <f t="shared" si="18"/>
        <v>10</v>
      </c>
      <c r="L22" s="417">
        <f t="shared" ref="L22:L32" si="20">L21</f>
        <v>2.3599999999999999E-2</v>
      </c>
      <c r="M22" s="418">
        <f t="shared" si="17"/>
        <v>0.23599999999999999</v>
      </c>
      <c r="N22" s="418">
        <f t="shared" si="19"/>
        <v>3.141E-2</v>
      </c>
      <c r="O22" s="417">
        <f t="shared" ref="O22:O30" si="21">INT(M22/N22*100)/100</f>
        <v>7.51</v>
      </c>
      <c r="P22" s="419">
        <f>INT((G17-O22)*100*0.8)/100</f>
        <v>-3.38</v>
      </c>
      <c r="S22" s="52">
        <f t="shared" si="3"/>
        <v>34</v>
      </c>
      <c r="T22" s="52">
        <f t="shared" si="10"/>
        <v>2.7210957752279876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11.322099443706174</v>
      </c>
      <c r="Z22" s="58">
        <f>Y23-Z23</f>
        <v>5.6947230248411387</v>
      </c>
      <c r="AA22" s="58">
        <f t="shared" si="5"/>
        <v>5.6947230248411387</v>
      </c>
      <c r="AB22" s="58">
        <f t="shared" si="6"/>
        <v>105</v>
      </c>
      <c r="AC22" s="58">
        <f t="shared" si="7"/>
        <v>5.627376418865035</v>
      </c>
      <c r="AD22" s="60">
        <f t="shared" si="16"/>
        <v>5.62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16.41</v>
      </c>
      <c r="G23" s="470">
        <f t="shared" si="14"/>
        <v>4.66</v>
      </c>
      <c r="H23" s="470"/>
      <c r="I23" s="345"/>
      <c r="J23" s="372">
        <f t="shared" si="15"/>
        <v>0.12999999999999989</v>
      </c>
      <c r="K23" s="417">
        <f t="shared" si="18"/>
        <v>15</v>
      </c>
      <c r="L23" s="417">
        <f t="shared" si="20"/>
        <v>2.3599999999999999E-2</v>
      </c>
      <c r="M23" s="418">
        <f t="shared" si="17"/>
        <v>0.35399999999999998</v>
      </c>
      <c r="N23" s="418">
        <f t="shared" si="19"/>
        <v>3.141E-2</v>
      </c>
      <c r="O23" s="417">
        <f t="shared" si="21"/>
        <v>11.27</v>
      </c>
      <c r="P23" s="419">
        <f t="shared" ref="P23:P32" si="22">INT((G18-O23)*100)/100</f>
        <v>-7.58</v>
      </c>
      <c r="S23" s="52">
        <f t="shared" si="3"/>
        <v>34</v>
      </c>
      <c r="T23" s="52">
        <f t="shared" si="10"/>
        <v>2.7210957752279876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11.454723024841138</v>
      </c>
      <c r="Z23" s="58">
        <f>Input!B20</f>
        <v>5.76</v>
      </c>
      <c r="AA23" s="58">
        <f t="shared" si="5"/>
        <v>5.6947230248411387</v>
      </c>
      <c r="AB23" s="58">
        <f t="shared" si="6"/>
        <v>120</v>
      </c>
      <c r="AC23" s="58">
        <f t="shared" si="7"/>
        <v>5.76</v>
      </c>
      <c r="AD23" s="60">
        <f>INT((AC$3+AE23)*100)/100</f>
        <v>5.76</v>
      </c>
      <c r="AE23" s="58">
        <f>AG$23*AF23</f>
        <v>5.76</v>
      </c>
      <c r="AF23" s="58">
        <v>1</v>
      </c>
      <c r="AG23" s="58">
        <f>AC23-AC3</f>
        <v>5.76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16.53</v>
      </c>
      <c r="G24" s="470">
        <f t="shared" si="14"/>
        <v>4.78</v>
      </c>
      <c r="H24" s="470"/>
      <c r="I24" s="345"/>
      <c r="J24" s="372">
        <f t="shared" si="15"/>
        <v>0.12000000000000011</v>
      </c>
      <c r="K24" s="417">
        <f t="shared" si="18"/>
        <v>20</v>
      </c>
      <c r="L24" s="417">
        <f t="shared" si="20"/>
        <v>2.3599999999999999E-2</v>
      </c>
      <c r="M24" s="418">
        <f t="shared" si="17"/>
        <v>0.47199999999999998</v>
      </c>
      <c r="N24" s="418">
        <f t="shared" si="19"/>
        <v>3.141E-2</v>
      </c>
      <c r="O24" s="417">
        <f t="shared" si="21"/>
        <v>15.02</v>
      </c>
      <c r="P24" s="419">
        <f t="shared" si="22"/>
        <v>-11.04</v>
      </c>
      <c r="R24" s="56">
        <f>B32</f>
        <v>43</v>
      </c>
      <c r="S24" s="52">
        <f>$R$24</f>
        <v>43</v>
      </c>
      <c r="T24" s="52">
        <f t="shared" si="10"/>
        <v>2.7210957752279876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14.587397859310213</v>
      </c>
      <c r="Z24" s="58">
        <f>Z27</f>
        <v>7.6775231670690705</v>
      </c>
      <c r="AA24" s="58">
        <f>$Z$24</f>
        <v>7.6775231670690705</v>
      </c>
      <c r="AB24" s="58">
        <f t="shared" si="6"/>
        <v>130</v>
      </c>
      <c r="AC24" s="58">
        <f t="shared" si="7"/>
        <v>6.9098746922411429</v>
      </c>
      <c r="AD24" s="60">
        <f>INT((AC$23+AE24)*100)/100</f>
        <v>6.91</v>
      </c>
      <c r="AE24" s="58">
        <f>AF24*AG$28</f>
        <v>1.1519999999999999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16.64</v>
      </c>
      <c r="G25" s="470">
        <f t="shared" si="14"/>
        <v>4.8899999999999997</v>
      </c>
      <c r="H25" s="470"/>
      <c r="I25" s="345"/>
      <c r="J25" s="372">
        <f t="shared" si="15"/>
        <v>0.10999999999999943</v>
      </c>
      <c r="K25" s="417">
        <f t="shared" si="18"/>
        <v>25</v>
      </c>
      <c r="L25" s="417">
        <f t="shared" si="20"/>
        <v>2.3599999999999999E-2</v>
      </c>
      <c r="M25" s="418">
        <f t="shared" si="17"/>
        <v>0.59</v>
      </c>
      <c r="N25" s="418">
        <f t="shared" si="19"/>
        <v>3.141E-2</v>
      </c>
      <c r="O25" s="417">
        <f t="shared" si="21"/>
        <v>18.78</v>
      </c>
      <c r="P25" s="419">
        <f t="shared" si="22"/>
        <v>-14.58</v>
      </c>
      <c r="S25" s="52">
        <f>$R$24</f>
        <v>43</v>
      </c>
      <c r="T25" s="52">
        <f t="shared" si="10"/>
        <v>2.7210957752279876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14.680485460830361</v>
      </c>
      <c r="AA25" s="58">
        <f>$Z$24</f>
        <v>7.6775231670690705</v>
      </c>
      <c r="AB25" s="58">
        <f t="shared" si="6"/>
        <v>140</v>
      </c>
      <c r="AC25" s="58">
        <f t="shared" si="7"/>
        <v>7.002962293761291</v>
      </c>
      <c r="AD25" s="60">
        <f>INT((AC$23+AE25)*100)/100</f>
        <v>7.1</v>
      </c>
      <c r="AE25" s="58">
        <f>AF25*AG$28</f>
        <v>1.3439999999999999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16.73</v>
      </c>
      <c r="G26" s="470">
        <f t="shared" si="14"/>
        <v>4.9800000000000004</v>
      </c>
      <c r="H26" s="470"/>
      <c r="I26" s="345"/>
      <c r="J26" s="372">
        <f t="shared" si="15"/>
        <v>9.0000000000000746E-2</v>
      </c>
      <c r="K26" s="417">
        <f t="shared" si="18"/>
        <v>30</v>
      </c>
      <c r="L26" s="417">
        <f t="shared" si="20"/>
        <v>2.3599999999999999E-2</v>
      </c>
      <c r="M26" s="418">
        <f t="shared" si="17"/>
        <v>0.70799999999999996</v>
      </c>
      <c r="N26" s="418">
        <f t="shared" si="19"/>
        <v>3.141E-2</v>
      </c>
      <c r="O26" s="418">
        <f t="shared" si="21"/>
        <v>22.54</v>
      </c>
      <c r="P26" s="419">
        <f t="shared" si="22"/>
        <v>-18.16</v>
      </c>
      <c r="S26" s="52">
        <f>$R$24</f>
        <v>43</v>
      </c>
      <c r="T26" s="52">
        <f t="shared" si="10"/>
        <v>2.7210957752279876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14.767147944528958</v>
      </c>
      <c r="AA26" s="58">
        <f>$Z$24</f>
        <v>7.6775231670690705</v>
      </c>
      <c r="AB26" s="58">
        <f t="shared" si="6"/>
        <v>150</v>
      </c>
      <c r="AC26" s="58">
        <f t="shared" si="7"/>
        <v>7.0896247774598873</v>
      </c>
      <c r="AD26" s="60">
        <f>INT((AC$23+AE26)*100)/100</f>
        <v>7.29</v>
      </c>
      <c r="AE26" s="58">
        <f>AF26*AG$28</f>
        <v>1.536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16.82</v>
      </c>
      <c r="G27" s="470">
        <f t="shared" si="14"/>
        <v>5.07</v>
      </c>
      <c r="H27" s="470"/>
      <c r="I27" s="345"/>
      <c r="J27" s="372">
        <f t="shared" si="15"/>
        <v>8.9999999999999858E-2</v>
      </c>
      <c r="K27" s="417">
        <f t="shared" si="18"/>
        <v>35</v>
      </c>
      <c r="L27" s="417">
        <f t="shared" si="20"/>
        <v>2.3599999999999999E-2</v>
      </c>
      <c r="M27" s="418">
        <f t="shared" si="17"/>
        <v>0.82599999999999996</v>
      </c>
      <c r="N27" s="418">
        <f t="shared" si="19"/>
        <v>3.141E-2</v>
      </c>
      <c r="O27" s="418">
        <f t="shared" si="21"/>
        <v>26.29</v>
      </c>
      <c r="P27" s="419">
        <f t="shared" si="22"/>
        <v>-21.76</v>
      </c>
      <c r="S27" s="52">
        <f>$R$24</f>
        <v>43</v>
      </c>
      <c r="T27" s="52">
        <f t="shared" si="10"/>
        <v>2.7210957752279876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14.996163473278873</v>
      </c>
      <c r="Z27" s="58">
        <f>Y28-Z28</f>
        <v>7.6775231670690705</v>
      </c>
      <c r="AA27" s="58">
        <f>$Z$24</f>
        <v>7.6775231670690705</v>
      </c>
      <c r="AB27" s="58">
        <f t="shared" si="6"/>
        <v>180</v>
      </c>
      <c r="AC27" s="58">
        <f t="shared" si="7"/>
        <v>7.3186403062098027</v>
      </c>
      <c r="AD27" s="60">
        <f>INT((AC$23+AE27)*100)/100</f>
        <v>7.48</v>
      </c>
      <c r="AE27" s="58">
        <f>AF27*AG$28</f>
        <v>1.728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17.04</v>
      </c>
      <c r="G28" s="470">
        <f t="shared" si="14"/>
        <v>5.29</v>
      </c>
      <c r="H28" s="470"/>
      <c r="I28" s="345"/>
      <c r="J28" s="372">
        <f t="shared" si="15"/>
        <v>0.21999999999999975</v>
      </c>
      <c r="K28" s="417">
        <f t="shared" si="18"/>
        <v>40</v>
      </c>
      <c r="L28" s="417">
        <f t="shared" si="20"/>
        <v>2.3599999999999999E-2</v>
      </c>
      <c r="M28" s="418">
        <f t="shared" si="17"/>
        <v>0.94399999999999995</v>
      </c>
      <c r="N28" s="418">
        <f t="shared" si="19"/>
        <v>3.141E-2</v>
      </c>
      <c r="O28" s="418">
        <f t="shared" si="21"/>
        <v>30.05</v>
      </c>
      <c r="P28" s="419">
        <f t="shared" si="22"/>
        <v>-25.39</v>
      </c>
      <c r="S28" s="52">
        <f>$R$24</f>
        <v>43</v>
      </c>
      <c r="T28" s="52">
        <f t="shared" si="10"/>
        <v>2.7210957752279876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15.35752316706907</v>
      </c>
      <c r="Z28" s="58">
        <f>Input!B21</f>
        <v>7.68</v>
      </c>
      <c r="AA28" s="58">
        <f>$Z$24</f>
        <v>7.6775231670690705</v>
      </c>
      <c r="AB28" s="58">
        <f t="shared" si="6"/>
        <v>240</v>
      </c>
      <c r="AC28" s="58">
        <f t="shared" si="7"/>
        <v>7.68</v>
      </c>
      <c r="AD28" s="60">
        <f>INT((AC$23+AE28)*100)/100</f>
        <v>7.68</v>
      </c>
      <c r="AE28" s="58">
        <f>AF28*AG$28</f>
        <v>1.92</v>
      </c>
      <c r="AF28" s="58">
        <v>1</v>
      </c>
      <c r="AG28" s="58">
        <f>AC28-AC23</f>
        <v>1.92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17.22</v>
      </c>
      <c r="G29" s="470">
        <f t="shared" si="14"/>
        <v>5.47</v>
      </c>
      <c r="H29" s="470"/>
      <c r="I29" s="345"/>
      <c r="J29" s="372">
        <f t="shared" si="15"/>
        <v>0.17999999999999972</v>
      </c>
      <c r="K29" s="417">
        <f t="shared" si="18"/>
        <v>45</v>
      </c>
      <c r="L29" s="417">
        <f t="shared" si="20"/>
        <v>2.3599999999999999E-2</v>
      </c>
      <c r="M29" s="418">
        <f t="shared" si="17"/>
        <v>1.0620000000000001</v>
      </c>
      <c r="N29" s="418">
        <f t="shared" si="19"/>
        <v>3.141E-2</v>
      </c>
      <c r="O29" s="418">
        <f t="shared" si="21"/>
        <v>33.81</v>
      </c>
      <c r="P29" s="419">
        <f t="shared" si="22"/>
        <v>-29.03</v>
      </c>
      <c r="R29" s="56">
        <f>B37</f>
        <v>52.699999999999996</v>
      </c>
      <c r="S29" s="52">
        <f>$R$29</f>
        <v>52.699999999999996</v>
      </c>
      <c r="T29" s="52">
        <f t="shared" si="10"/>
        <v>2.7210957752279876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18.884738595591479</v>
      </c>
      <c r="Z29" s="58">
        <f>Z32</f>
        <v>9.6060929381552214</v>
      </c>
      <c r="AA29" s="58">
        <f>$Z$29</f>
        <v>9.6060929381552214</v>
      </c>
      <c r="AB29" s="58">
        <f t="shared" si="6"/>
        <v>250</v>
      </c>
      <c r="AC29" s="58">
        <f t="shared" si="7"/>
        <v>9.2786456574362575</v>
      </c>
      <c r="AD29" s="60">
        <f>INT((AC$28+AE29)*100)/100</f>
        <v>8.9700000000000006</v>
      </c>
      <c r="AE29" s="58">
        <f>AF29*AG$33</f>
        <v>1.296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17.37</v>
      </c>
      <c r="G30" s="470">
        <f t="shared" si="14"/>
        <v>5.62</v>
      </c>
      <c r="H30" s="470"/>
      <c r="I30" s="345"/>
      <c r="J30" s="372">
        <f t="shared" si="15"/>
        <v>0.15000000000000036</v>
      </c>
      <c r="K30" s="417">
        <f t="shared" si="18"/>
        <v>50</v>
      </c>
      <c r="L30" s="417">
        <f t="shared" si="20"/>
        <v>2.3599999999999999E-2</v>
      </c>
      <c r="M30" s="418">
        <f t="shared" si="17"/>
        <v>1.18</v>
      </c>
      <c r="N30" s="418">
        <f t="shared" si="19"/>
        <v>3.141E-2</v>
      </c>
      <c r="O30" s="418">
        <f t="shared" si="21"/>
        <v>37.56</v>
      </c>
      <c r="P30" s="419">
        <f t="shared" si="22"/>
        <v>-32.67</v>
      </c>
      <c r="R30" s="52" t="s">
        <v>21</v>
      </c>
      <c r="S30" s="52">
        <f>$R$29</f>
        <v>52.699999999999996</v>
      </c>
      <c r="T30" s="52">
        <f t="shared" si="10"/>
        <v>2.7210957752279876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18.945117406616891</v>
      </c>
      <c r="AA30" s="58">
        <f>$Z$29</f>
        <v>9.6060929381552214</v>
      </c>
      <c r="AB30" s="58">
        <f t="shared" si="6"/>
        <v>260</v>
      </c>
      <c r="AC30" s="58">
        <f t="shared" si="7"/>
        <v>9.3390244684616697</v>
      </c>
      <c r="AD30" s="60">
        <f>INT((AC$28+AE30)*100)/100</f>
        <v>9.19</v>
      </c>
      <c r="AE30" s="58">
        <f>AF30*AG$33</f>
        <v>1.512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17.509999999999998</v>
      </c>
      <c r="G31" s="470">
        <f t="shared" si="14"/>
        <v>5.76</v>
      </c>
      <c r="H31" s="470"/>
      <c r="I31" s="345"/>
      <c r="J31" s="372">
        <f t="shared" si="15"/>
        <v>0.13999999999999968</v>
      </c>
      <c r="K31" s="417">
        <f t="shared" si="18"/>
        <v>55</v>
      </c>
      <c r="L31" s="417">
        <f t="shared" si="20"/>
        <v>2.3599999999999999E-2</v>
      </c>
      <c r="M31" s="418">
        <f t="shared" si="17"/>
        <v>1.298</v>
      </c>
      <c r="N31" s="418">
        <f t="shared" si="19"/>
        <v>3.141E-2</v>
      </c>
      <c r="O31" s="418">
        <f>INT(M31/N31*100)/100</f>
        <v>41.32</v>
      </c>
      <c r="P31" s="419">
        <f t="shared" si="22"/>
        <v>-36.340000000000003</v>
      </c>
      <c r="S31" s="52">
        <f>$R$29</f>
        <v>52.699999999999996</v>
      </c>
      <c r="T31" s="52">
        <f t="shared" si="10"/>
        <v>2.7210957752279876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19.003217220417</v>
      </c>
      <c r="AA31" s="58">
        <f>$Z$29</f>
        <v>9.6060929381552214</v>
      </c>
      <c r="AB31" s="58">
        <f t="shared" si="6"/>
        <v>270</v>
      </c>
      <c r="AC31" s="58">
        <f t="shared" si="7"/>
        <v>9.3971242822617782</v>
      </c>
      <c r="AD31" s="60">
        <f>INT((AC$28+AE31)*100)/100</f>
        <v>9.4</v>
      </c>
      <c r="AE31" s="58">
        <f>AF31*AG$33</f>
        <v>1.7280000000000002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43</v>
      </c>
      <c r="C32" s="369">
        <f>$C$12+D32/1440</f>
        <v>44992.569444444445</v>
      </c>
      <c r="D32" s="469">
        <v>130</v>
      </c>
      <c r="E32" s="469"/>
      <c r="F32" s="370">
        <f t="shared" si="13"/>
        <v>18.66</v>
      </c>
      <c r="G32" s="470">
        <f t="shared" si="14"/>
        <v>6.91</v>
      </c>
      <c r="H32" s="470"/>
      <c r="I32" s="345"/>
      <c r="J32" s="372">
        <f t="shared" si="15"/>
        <v>1.1500000000000004</v>
      </c>
      <c r="K32" s="417">
        <f t="shared" si="18"/>
        <v>60</v>
      </c>
      <c r="L32" s="417">
        <f t="shared" si="20"/>
        <v>2.3599999999999999E-2</v>
      </c>
      <c r="M32" s="418">
        <f t="shared" si="17"/>
        <v>1.4159999999999999</v>
      </c>
      <c r="N32" s="418">
        <f t="shared" si="19"/>
        <v>3.141E-2</v>
      </c>
      <c r="O32" s="418">
        <f>INT(M32/N32*100)/100</f>
        <v>45.08</v>
      </c>
      <c r="P32" s="419">
        <f t="shared" si="22"/>
        <v>-40.01</v>
      </c>
      <c r="S32" s="52">
        <f>$R$29</f>
        <v>52.699999999999996</v>
      </c>
      <c r="T32" s="52">
        <f t="shared" si="10"/>
        <v>2.7210957752279876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19.165415766873352</v>
      </c>
      <c r="Z32" s="58">
        <f>Y33-Z33</f>
        <v>9.6060929381552214</v>
      </c>
      <c r="AA32" s="58">
        <f>$Z$29</f>
        <v>9.6060929381552214</v>
      </c>
      <c r="AB32" s="58">
        <f t="shared" si="6"/>
        <v>300</v>
      </c>
      <c r="AC32" s="58">
        <f t="shared" si="7"/>
        <v>9.5593228287181304</v>
      </c>
      <c r="AD32" s="60">
        <f>INT((AC$28+AE32)*100)/100</f>
        <v>9.6199999999999992</v>
      </c>
      <c r="AE32" s="58">
        <f>AF32*AG$33</f>
        <v>1.9440000000000002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18.850000000000001</v>
      </c>
      <c r="G33" s="470">
        <f t="shared" si="14"/>
        <v>7.1</v>
      </c>
      <c r="H33" s="470"/>
      <c r="I33" s="345"/>
      <c r="J33" s="372">
        <f t="shared" si="15"/>
        <v>0.1899999999999995</v>
      </c>
      <c r="L33" s="67" t="s">
        <v>21</v>
      </c>
      <c r="P33" s="59"/>
      <c r="S33" s="52">
        <f>$R$29</f>
        <v>52.699999999999996</v>
      </c>
      <c r="T33" s="52">
        <f t="shared" si="10"/>
        <v>2.7210957752279876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19.446092938155221</v>
      </c>
      <c r="Z33" s="58">
        <f>Input!B22</f>
        <v>9.84</v>
      </c>
      <c r="AA33" s="58">
        <f>$Z$29</f>
        <v>9.6060929381552214</v>
      </c>
      <c r="AB33" s="58">
        <f t="shared" si="6"/>
        <v>360</v>
      </c>
      <c r="AC33" s="58">
        <f t="shared" si="7"/>
        <v>9.84</v>
      </c>
      <c r="AD33" s="60">
        <f>INT((AC$28+AE33)*100)/100</f>
        <v>9.84</v>
      </c>
      <c r="AE33" s="58">
        <f>AF33*AG$33</f>
        <v>2.16</v>
      </c>
      <c r="AF33" s="58">
        <v>1</v>
      </c>
      <c r="AG33" s="58">
        <f>AC33-AC28</f>
        <v>2.16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19.04</v>
      </c>
      <c r="G34" s="470">
        <f t="shared" si="14"/>
        <v>7.29</v>
      </c>
      <c r="H34" s="470"/>
      <c r="I34" s="345"/>
      <c r="J34" s="372">
        <f t="shared" si="15"/>
        <v>0.19000000000000039</v>
      </c>
      <c r="L34" s="67" t="s">
        <v>21</v>
      </c>
      <c r="R34" s="52">
        <f>B42</f>
        <v>62</v>
      </c>
      <c r="S34" s="52">
        <f>$R$34</f>
        <v>62</v>
      </c>
      <c r="T34" s="52">
        <f t="shared" si="10"/>
        <v>2.7210957752279876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22.927379561407999</v>
      </c>
      <c r="Z34" s="58">
        <f>Z37</f>
        <v>11.148786653992286</v>
      </c>
      <c r="AA34" s="58">
        <f>$Z$34</f>
        <v>11.148786653992286</v>
      </c>
      <c r="AB34" s="58">
        <f t="shared" si="6"/>
        <v>370</v>
      </c>
      <c r="AC34" s="58">
        <f t="shared" si="7"/>
        <v>11.778592907415714</v>
      </c>
      <c r="AD34" s="60">
        <f>INT((AC$33+AE34)*100)/100</f>
        <v>11.28</v>
      </c>
      <c r="AE34" s="58">
        <f>AG$38*AF34</f>
        <v>1.446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19.23</v>
      </c>
      <c r="G35" s="470">
        <f t="shared" si="14"/>
        <v>7.48</v>
      </c>
      <c r="H35" s="470"/>
      <c r="I35" s="345"/>
      <c r="J35" s="372">
        <f t="shared" si="15"/>
        <v>0.19000000000000039</v>
      </c>
      <c r="L35" s="67" t="s">
        <v>21</v>
      </c>
      <c r="S35" s="52">
        <f>$R$34</f>
        <v>62</v>
      </c>
      <c r="T35" s="52">
        <f t="shared" si="10"/>
        <v>2.7210957752279876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22.975679281617207</v>
      </c>
      <c r="AA35" s="58">
        <f>$Z$34</f>
        <v>11.148786653992286</v>
      </c>
      <c r="AB35" s="58">
        <f t="shared" si="6"/>
        <v>380</v>
      </c>
      <c r="AC35" s="58">
        <f t="shared" si="7"/>
        <v>11.826892627624922</v>
      </c>
      <c r="AD35" s="60">
        <f>INT((AC$33+AE35)*100)/100</f>
        <v>11.52</v>
      </c>
      <c r="AE35" s="58">
        <f>AG$38*AF35</f>
        <v>1.6870000000000001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19.43</v>
      </c>
      <c r="G36" s="470">
        <f t="shared" si="14"/>
        <v>7.68</v>
      </c>
      <c r="H36" s="470"/>
      <c r="I36" s="345"/>
      <c r="J36" s="372">
        <f t="shared" si="15"/>
        <v>0.19999999999999929</v>
      </c>
      <c r="L36" s="67" t="s">
        <v>21</v>
      </c>
      <c r="S36" s="52">
        <f>$R$34</f>
        <v>62</v>
      </c>
      <c r="T36" s="52">
        <f t="shared" si="10"/>
        <v>2.7210957752279876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23.022724320674715</v>
      </c>
      <c r="AA36" s="58">
        <f>$Z$34</f>
        <v>11.148786653992286</v>
      </c>
      <c r="AB36" s="58">
        <f t="shared" si="6"/>
        <v>390</v>
      </c>
      <c r="AC36" s="58">
        <f t="shared" si="7"/>
        <v>11.87393766668243</v>
      </c>
      <c r="AD36" s="60">
        <f>INT((AC$33+AE36)*100)/100</f>
        <v>11.76</v>
      </c>
      <c r="AE36" s="58">
        <f>AG$38*AF36</f>
        <v>1.9280000000000002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52.699999999999996</v>
      </c>
      <c r="C37" s="369">
        <f>$C$12+D37/1440</f>
        <v>44992.652777777774</v>
      </c>
      <c r="D37" s="469">
        <v>250</v>
      </c>
      <c r="E37" s="469"/>
      <c r="F37" s="370">
        <f t="shared" si="13"/>
        <v>20.72</v>
      </c>
      <c r="G37" s="470">
        <f t="shared" si="14"/>
        <v>8.9700000000000006</v>
      </c>
      <c r="H37" s="470"/>
      <c r="I37" s="345"/>
      <c r="J37" s="372">
        <f t="shared" si="15"/>
        <v>1.2900000000000009</v>
      </c>
      <c r="L37" s="67" t="s">
        <v>21</v>
      </c>
      <c r="S37" s="52">
        <f>$R$34</f>
        <v>62</v>
      </c>
      <c r="T37" s="52">
        <f t="shared" si="10"/>
        <v>2.7210957752279876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23.156943653099116</v>
      </c>
      <c r="Z37" s="58">
        <f>Y38-Z38</f>
        <v>11.148786653992286</v>
      </c>
      <c r="AA37" s="58">
        <f>$Z$34</f>
        <v>11.148786653992286</v>
      </c>
      <c r="AB37" s="58">
        <f t="shared" si="6"/>
        <v>420</v>
      </c>
      <c r="AC37" s="58">
        <f t="shared" si="7"/>
        <v>12.008156999106831</v>
      </c>
      <c r="AD37" s="60">
        <f>INT((AC$33+AE37)*100)/100</f>
        <v>12</v>
      </c>
      <c r="AE37" s="58">
        <f>AG$38*AF37</f>
        <v>2.169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20.939999999999998</v>
      </c>
      <c r="G38" s="470">
        <f t="shared" si="14"/>
        <v>9.19</v>
      </c>
      <c r="H38" s="470"/>
      <c r="I38" s="345"/>
      <c r="J38" s="372">
        <f t="shared" si="15"/>
        <v>0.21999999999999886</v>
      </c>
      <c r="L38" s="67" t="s">
        <v>21</v>
      </c>
      <c r="S38" s="52">
        <f>$R$34</f>
        <v>62</v>
      </c>
      <c r="T38" s="52">
        <f t="shared" si="10"/>
        <v>2.7210957752279876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23.398786653992286</v>
      </c>
      <c r="Z38" s="58">
        <f>Input!B23</f>
        <v>12.25</v>
      </c>
      <c r="AA38" s="58">
        <f>$Z$34</f>
        <v>11.148786653992286</v>
      </c>
      <c r="AB38" s="58">
        <f t="shared" si="6"/>
        <v>480</v>
      </c>
      <c r="AC38" s="58">
        <f t="shared" si="7"/>
        <v>12.25</v>
      </c>
      <c r="AD38" s="60">
        <f>INT((AC$33+AE38)*100)/100</f>
        <v>12.25</v>
      </c>
      <c r="AE38" s="58">
        <f>AG$38*AF38</f>
        <v>2.41</v>
      </c>
      <c r="AF38" s="58">
        <v>1</v>
      </c>
      <c r="AG38" s="58">
        <f>AC38-AC33</f>
        <v>2.41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21.15</v>
      </c>
      <c r="G39" s="470">
        <f t="shared" si="14"/>
        <v>9.4</v>
      </c>
      <c r="H39" s="470"/>
      <c r="I39" s="345"/>
      <c r="J39" s="372">
        <f t="shared" si="15"/>
        <v>0.21000000000000085</v>
      </c>
      <c r="K39" s="61" t="s">
        <v>21</v>
      </c>
      <c r="L39" s="67" t="s">
        <v>21</v>
      </c>
      <c r="R39" s="56">
        <f>B47</f>
        <v>71.3</v>
      </c>
      <c r="S39" s="52">
        <f>$R$39</f>
        <v>71.3</v>
      </c>
      <c r="T39" s="52">
        <f t="shared" si="10"/>
        <v>2.7210957752279876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26.951550544623835</v>
      </c>
      <c r="Z39" s="58">
        <f>Z42</f>
        <v>11.453368486062841</v>
      </c>
      <c r="AA39" s="58">
        <f>$Z$39</f>
        <v>11.453368486062841</v>
      </c>
      <c r="AB39" s="58">
        <f t="shared" si="6"/>
        <v>490</v>
      </c>
      <c r="AC39" s="58">
        <f t="shared" si="7"/>
        <v>15.498182058560994</v>
      </c>
      <c r="AD39" s="60">
        <f>INT((AC$38+AE39)*100)/100</f>
        <v>13.71</v>
      </c>
      <c r="AE39" s="58">
        <f>AG$43*AF39</f>
        <v>1.468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21.369999999999997</v>
      </c>
      <c r="G40" s="470">
        <f t="shared" si="14"/>
        <v>9.6199999999999992</v>
      </c>
      <c r="H40" s="470"/>
      <c r="I40" s="345"/>
      <c r="J40" s="372">
        <f t="shared" si="15"/>
        <v>0.21999999999999886</v>
      </c>
      <c r="K40" s="61" t="s">
        <v>21</v>
      </c>
      <c r="L40" s="67" t="s">
        <v>21</v>
      </c>
      <c r="S40" s="52">
        <f>$R$39</f>
        <v>71.3</v>
      </c>
      <c r="T40" s="52">
        <f t="shared" si="10"/>
        <v>2.7210957752279876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26.993628783740309</v>
      </c>
      <c r="AA40" s="58">
        <f>$Z$39</f>
        <v>11.453368486062841</v>
      </c>
      <c r="AB40" s="58">
        <f t="shared" si="6"/>
        <v>500</v>
      </c>
      <c r="AC40" s="58">
        <f t="shared" si="7"/>
        <v>15.540260297677468</v>
      </c>
      <c r="AD40" s="60">
        <f>INT((AC$38+AE40)*100)/100</f>
        <v>14.26</v>
      </c>
      <c r="AE40" s="58">
        <f>AG$43*AF40</f>
        <v>2.0185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21.59</v>
      </c>
      <c r="G41" s="470">
        <f t="shared" si="14"/>
        <v>9.84</v>
      </c>
      <c r="H41" s="470"/>
      <c r="I41" s="345"/>
      <c r="J41" s="372">
        <f t="shared" si="15"/>
        <v>0.22000000000000064</v>
      </c>
      <c r="K41" s="61" t="s">
        <v>21</v>
      </c>
      <c r="L41" s="67" t="s">
        <v>21</v>
      </c>
      <c r="S41" s="52">
        <f>$R$39</f>
        <v>71.3</v>
      </c>
      <c r="T41" s="52">
        <f t="shared" si="10"/>
        <v>2.7210957752279876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27.034873735389962</v>
      </c>
      <c r="AA41" s="58">
        <f>$Z$39</f>
        <v>11.453368486062841</v>
      </c>
      <c r="AB41" s="58">
        <f t="shared" si="6"/>
        <v>510</v>
      </c>
      <c r="AC41" s="58">
        <f t="shared" si="7"/>
        <v>15.581505249327121</v>
      </c>
      <c r="AD41" s="60">
        <f>INT((AC$38+AE41)*100)/100</f>
        <v>14.81</v>
      </c>
      <c r="AE41" s="58">
        <f>AG$43*AF41</f>
        <v>2.569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62</v>
      </c>
      <c r="C42" s="369">
        <f>$C$12+D42/1440</f>
        <v>44992.736111111109</v>
      </c>
      <c r="D42" s="469">
        <v>370</v>
      </c>
      <c r="E42" s="469"/>
      <c r="F42" s="370">
        <f t="shared" si="13"/>
        <v>23.03</v>
      </c>
      <c r="G42" s="470">
        <f t="shared" si="14"/>
        <v>11.28</v>
      </c>
      <c r="H42" s="470"/>
      <c r="I42" s="345"/>
      <c r="J42" s="372">
        <f t="shared" si="15"/>
        <v>1.4399999999999995</v>
      </c>
      <c r="K42" s="61" t="s">
        <v>21</v>
      </c>
      <c r="L42" s="67" t="s">
        <v>21</v>
      </c>
      <c r="S42" s="52">
        <f>$R$39</f>
        <v>71.3</v>
      </c>
      <c r="T42" s="52">
        <f t="shared" si="10"/>
        <v>2.7210957752279876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27.153923393798369</v>
      </c>
      <c r="Z42" s="58">
        <f>Y43-Z43</f>
        <v>11.453368486062841</v>
      </c>
      <c r="AA42" s="58">
        <f>$Z$39</f>
        <v>11.453368486062841</v>
      </c>
      <c r="AB42" s="58">
        <f t="shared" si="6"/>
        <v>540</v>
      </c>
      <c r="AC42" s="58">
        <f t="shared" si="7"/>
        <v>15.700554907735528</v>
      </c>
      <c r="AD42" s="60">
        <f>INT((AC$38+AE42)*100)/100</f>
        <v>15.36</v>
      </c>
      <c r="AE42" s="58">
        <f>AG$43*AF42</f>
        <v>3.1194999999999999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23.27</v>
      </c>
      <c r="G43" s="470">
        <f t="shared" si="14"/>
        <v>11.52</v>
      </c>
      <c r="H43" s="470"/>
      <c r="I43" s="345"/>
      <c r="J43" s="372">
        <f t="shared" si="15"/>
        <v>0.24000000000000021</v>
      </c>
      <c r="K43" s="61" t="s">
        <v>21</v>
      </c>
      <c r="L43" s="67" t="s">
        <v>21</v>
      </c>
      <c r="S43" s="52">
        <f>$R$39</f>
        <v>71.3</v>
      </c>
      <c r="T43" s="52">
        <f t="shared" si="10"/>
        <v>2.7210957752279876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27.373368486062841</v>
      </c>
      <c r="Z43" s="58">
        <f>Input!B24</f>
        <v>15.92</v>
      </c>
      <c r="AA43" s="58">
        <f>$Z$39</f>
        <v>11.453368486062841</v>
      </c>
      <c r="AB43" s="58">
        <f t="shared" si="6"/>
        <v>600</v>
      </c>
      <c r="AC43" s="58">
        <f t="shared" si="7"/>
        <v>15.92</v>
      </c>
      <c r="AD43" s="60">
        <f>INT((AC$38+AE43)*100)/100</f>
        <v>15.92</v>
      </c>
      <c r="AE43" s="58">
        <f>AG$43*AF43</f>
        <v>3.67</v>
      </c>
      <c r="AF43" s="58">
        <v>1</v>
      </c>
      <c r="AG43" s="58">
        <f>AC43-AC38</f>
        <v>3.67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23.509999999999998</v>
      </c>
      <c r="G44" s="470">
        <f t="shared" si="14"/>
        <v>11.76</v>
      </c>
      <c r="H44" s="470"/>
      <c r="I44" s="345"/>
      <c r="J44" s="372">
        <f t="shared" si="15"/>
        <v>0.24000000000000021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23.75</v>
      </c>
      <c r="G45" s="470">
        <f t="shared" si="14"/>
        <v>12</v>
      </c>
      <c r="H45" s="470"/>
      <c r="I45" s="345"/>
      <c r="J45" s="372">
        <f t="shared" si="15"/>
        <v>0.24000000000000021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24</v>
      </c>
      <c r="G46" s="470">
        <f t="shared" si="14"/>
        <v>12.25</v>
      </c>
      <c r="H46" s="470"/>
      <c r="I46" s="345"/>
      <c r="J46" s="372">
        <f t="shared" si="15"/>
        <v>0.25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71.3</v>
      </c>
      <c r="C47" s="369">
        <f>$C$12+D47/1440</f>
        <v>44992.819444444445</v>
      </c>
      <c r="D47" s="469">
        <v>490</v>
      </c>
      <c r="E47" s="469"/>
      <c r="F47" s="370">
        <f t="shared" si="13"/>
        <v>25.46</v>
      </c>
      <c r="G47" s="470">
        <f t="shared" si="14"/>
        <v>13.71</v>
      </c>
      <c r="H47" s="470"/>
      <c r="I47" s="345"/>
      <c r="J47" s="372">
        <f t="shared" si="15"/>
        <v>1.4600000000000009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26.009999999999998</v>
      </c>
      <c r="G48" s="470">
        <f t="shared" si="14"/>
        <v>14.26</v>
      </c>
      <c r="H48" s="470"/>
      <c r="I48" s="345"/>
      <c r="J48" s="372">
        <f t="shared" si="15"/>
        <v>0.54999999999999893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26.560000000000002</v>
      </c>
      <c r="G49" s="470">
        <f t="shared" si="14"/>
        <v>14.81</v>
      </c>
      <c r="H49" s="470"/>
      <c r="I49" s="345"/>
      <c r="J49" s="372">
        <f t="shared" si="15"/>
        <v>0.55000000000000071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27.11</v>
      </c>
      <c r="G50" s="470">
        <f t="shared" si="14"/>
        <v>15.36</v>
      </c>
      <c r="H50" s="470"/>
      <c r="I50" s="345"/>
      <c r="J50" s="372">
        <f t="shared" si="15"/>
        <v>0.54999999999999893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27.67</v>
      </c>
      <c r="G51" s="470">
        <f t="shared" si="14"/>
        <v>15.92</v>
      </c>
      <c r="H51" s="470"/>
      <c r="I51" s="345" t="s">
        <v>180</v>
      </c>
      <c r="J51" s="372">
        <f t="shared" si="15"/>
        <v>0.5600000000000005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M29" sqref="M29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-2.4698293191920371</v>
      </c>
      <c r="N1" s="483" t="s">
        <v>183</v>
      </c>
      <c r="O1" s="483"/>
      <c r="P1" s="70">
        <f>StepTest!G41</f>
        <v>9.84</v>
      </c>
      <c r="Q1" s="71" t="s">
        <v>184</v>
      </c>
      <c r="R1" s="72">
        <f>G35</f>
        <v>12.309829319192037</v>
      </c>
      <c r="S1" s="73">
        <f>D7/2000</f>
        <v>0.1</v>
      </c>
      <c r="T1" s="74">
        <v>1.58114147779326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잠실 푸르지오 발라드 신축현장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25.52</v>
      </c>
      <c r="T2" s="52">
        <v>44</v>
      </c>
      <c r="U2" s="56">
        <f>B10</f>
        <v>54</v>
      </c>
      <c r="V2" s="56">
        <f>U2</f>
        <v>54</v>
      </c>
      <c r="W2" s="52">
        <f>T1</f>
        <v>1.58114147779326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11.71390887618931</v>
      </c>
      <c r="AC2" s="58">
        <f>1.6*V2/(4*PI()*W2)*LOG10((2.25*W2*Z2)/(X2*X2*Y2))</f>
        <v>11.71390887618931</v>
      </c>
      <c r="AD2" s="75">
        <v>0</v>
      </c>
      <c r="AE2" s="57">
        <f>AA2</f>
        <v>1</v>
      </c>
      <c r="AF2" s="58">
        <f t="shared" ref="AF2:AF14" si="1">AC2-$P$3-O3</f>
        <v>1.3514598577653809</v>
      </c>
      <c r="AG2" s="58">
        <f>AC2</f>
        <v>11.71390887618931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잠실 푸르지오 발라드</v>
      </c>
      <c r="D3" s="165"/>
      <c r="E3" s="165"/>
      <c r="F3" s="167"/>
      <c r="G3" s="165"/>
      <c r="H3" s="168" t="str">
        <f>StepTest!H5</f>
        <v>공  번 : W - 3</v>
      </c>
      <c r="I3" s="168"/>
      <c r="J3" s="169"/>
      <c r="L3" s="78" t="s">
        <v>48</v>
      </c>
      <c r="M3" s="59">
        <f t="shared" ref="M3:M10" si="2">Q17</f>
        <v>0.16</v>
      </c>
      <c r="N3" s="79"/>
      <c r="O3" s="334">
        <v>-0.15755000635832617</v>
      </c>
      <c r="P3" s="336">
        <v>10.519999024782255</v>
      </c>
      <c r="V3" s="56">
        <f>V2</f>
        <v>54</v>
      </c>
      <c r="W3" s="52">
        <f>W$2</f>
        <v>1.58114147779326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13.022918740313017</v>
      </c>
      <c r="AC3" s="58">
        <f t="shared" ref="AC3:AC34" si="5">1.6*V3/(4*PI()*W3)*LOG10((2.25*W3*Z3)/(X3*X3*Y3))</f>
        <v>13.022918740313017</v>
      </c>
      <c r="AD3" s="58">
        <f>AB69</f>
        <v>24.289999024782254</v>
      </c>
      <c r="AE3" s="57">
        <f t="shared" ref="AE3:AE66" si="6">AA3</f>
        <v>2</v>
      </c>
      <c r="AF3" s="58">
        <f t="shared" si="1"/>
        <v>2.5029197155307621</v>
      </c>
      <c r="AG3" s="58">
        <f t="shared" ref="AG3:AG16" si="7">AC3</f>
        <v>13.022918740313017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송파구 방이동 28-3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0.12</v>
      </c>
      <c r="N4" s="79"/>
      <c r="O4" s="335"/>
      <c r="P4" s="335"/>
      <c r="V4" s="56">
        <f t="shared" ref="V4:V67" si="8">V3</f>
        <v>54</v>
      </c>
      <c r="W4" s="52">
        <f t="shared" ref="W4:W67" si="9">W$2</f>
        <v>1.58114147779326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13.78864042389948</v>
      </c>
      <c r="AC4" s="58">
        <f>1.6*V4/(4*PI()*W4)*LOG10((2.25*W4*Z4)/(X4*X4*Y4))</f>
        <v>13.78864042389948</v>
      </c>
      <c r="AD4" s="58">
        <f>AC69</f>
        <v>24.289999024782254</v>
      </c>
      <c r="AE4" s="57">
        <f t="shared" si="6"/>
        <v>3</v>
      </c>
      <c r="AF4" s="58">
        <f t="shared" si="1"/>
        <v>3.2686413991172252</v>
      </c>
      <c r="AG4" s="58">
        <f t="shared" si="7"/>
        <v>13.78864042389948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-0.32</v>
      </c>
      <c r="N5" s="79"/>
      <c r="O5" s="335"/>
      <c r="P5" s="335"/>
      <c r="V5" s="56">
        <f t="shared" si="8"/>
        <v>54</v>
      </c>
      <c r="W5" s="52">
        <f t="shared" si="9"/>
        <v>1.58114147779326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14.331928604436722</v>
      </c>
      <c r="AC5" s="58">
        <f t="shared" si="5"/>
        <v>14.331928604436722</v>
      </c>
      <c r="AD5" s="58">
        <f>AF69</f>
        <v>13.77</v>
      </c>
      <c r="AE5" s="57">
        <f t="shared" si="6"/>
        <v>4</v>
      </c>
      <c r="AF5" s="58">
        <f t="shared" si="1"/>
        <v>3.8119295796544677</v>
      </c>
      <c r="AG5" s="58">
        <f t="shared" si="7"/>
        <v>14.331928604436722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-0.96</v>
      </c>
      <c r="N6" s="79"/>
      <c r="O6" s="335"/>
      <c r="P6" s="335"/>
      <c r="V6" s="56">
        <f t="shared" si="8"/>
        <v>54</v>
      </c>
      <c r="W6" s="52">
        <f t="shared" si="9"/>
        <v>1.58114147779326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14.753335656182832</v>
      </c>
      <c r="AC6" s="58">
        <f t="shared" si="5"/>
        <v>14.753335656182832</v>
      </c>
      <c r="AE6" s="57">
        <f t="shared" si="6"/>
        <v>5</v>
      </c>
      <c r="AF6" s="58">
        <f t="shared" si="1"/>
        <v>4.2333366314005776</v>
      </c>
      <c r="AG6" s="58">
        <f t="shared" si="7"/>
        <v>14.753335656182832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500</v>
      </c>
      <c r="H7" s="165"/>
      <c r="I7" s="165"/>
      <c r="J7" s="166"/>
      <c r="M7" s="59">
        <f t="shared" si="2"/>
        <v>-1.73</v>
      </c>
      <c r="N7" s="79"/>
      <c r="O7" s="335"/>
      <c r="P7" s="335"/>
      <c r="V7" s="56">
        <f t="shared" si="8"/>
        <v>54</v>
      </c>
      <c r="W7" s="52">
        <f t="shared" si="9"/>
        <v>1.58114147779326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16.06234552030654</v>
      </c>
      <c r="AC7" s="58">
        <f t="shared" si="5"/>
        <v>16.06234552030654</v>
      </c>
      <c r="AE7" s="57">
        <f t="shared" si="6"/>
        <v>10</v>
      </c>
      <c r="AF7" s="58">
        <f t="shared" si="1"/>
        <v>5.5423464955242849</v>
      </c>
      <c r="AG7" s="58">
        <f t="shared" si="7"/>
        <v>16.06234552030654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11.75</v>
      </c>
      <c r="E8" s="176"/>
      <c r="F8" s="177" t="s">
        <v>189</v>
      </c>
      <c r="G8" s="181">
        <f>F77</f>
        <v>25.52</v>
      </c>
      <c r="H8" s="173">
        <f>Input!C40</f>
        <v>54</v>
      </c>
      <c r="I8" s="173"/>
      <c r="J8" s="163"/>
      <c r="K8" s="374">
        <f>Input!M50</f>
        <v>13.77</v>
      </c>
      <c r="L8" s="415">
        <f>G10-K11</f>
        <v>0.19999999999999973</v>
      </c>
      <c r="M8" s="59">
        <f t="shared" si="2"/>
        <v>-6.39</v>
      </c>
      <c r="N8" s="79"/>
      <c r="O8" s="335"/>
      <c r="P8" s="335"/>
      <c r="V8" s="56">
        <f t="shared" si="8"/>
        <v>54</v>
      </c>
      <c r="W8" s="52">
        <f t="shared" si="9"/>
        <v>1.58114147779326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16.828067203893003</v>
      </c>
      <c r="AC8" s="58">
        <f t="shared" si="5"/>
        <v>16.828067203893003</v>
      </c>
      <c r="AE8" s="57">
        <f t="shared" si="6"/>
        <v>15</v>
      </c>
      <c r="AF8" s="58">
        <f t="shared" si="1"/>
        <v>6.308068179110748</v>
      </c>
      <c r="AG8" s="58">
        <f t="shared" si="7"/>
        <v>16.828067203893003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13.77</v>
      </c>
      <c r="M9" s="59">
        <f t="shared" si="2"/>
        <v>-11.6</v>
      </c>
      <c r="N9" s="79"/>
      <c r="O9" s="335"/>
      <c r="P9" s="335"/>
      <c r="V9" s="56">
        <f t="shared" si="8"/>
        <v>54</v>
      </c>
      <c r="W9" s="52">
        <f t="shared" si="9"/>
        <v>1.58114147779326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17.371355384430245</v>
      </c>
      <c r="AC9" s="58">
        <f t="shared" si="5"/>
        <v>17.371355384430245</v>
      </c>
      <c r="AE9" s="57">
        <f t="shared" si="6"/>
        <v>20</v>
      </c>
      <c r="AF9" s="58">
        <f t="shared" si="1"/>
        <v>6.8513563596479905</v>
      </c>
      <c r="AG9" s="58">
        <f t="shared" si="7"/>
        <v>17.371355384430245</v>
      </c>
    </row>
    <row r="10" spans="1:38" s="52" customFormat="1" ht="21" customHeight="1">
      <c r="A10" s="183">
        <v>1</v>
      </c>
      <c r="B10" s="184">
        <f>Input!C26</f>
        <v>54</v>
      </c>
      <c r="C10" s="185">
        <v>45299.4375</v>
      </c>
      <c r="D10" s="186">
        <v>1</v>
      </c>
      <c r="E10" s="176">
        <f>D10/1440</f>
        <v>6.9444444444444447E-4</v>
      </c>
      <c r="F10" s="187">
        <f>G10+D$8</f>
        <v>13.101459857765381</v>
      </c>
      <c r="G10" s="188">
        <f>AF2</f>
        <v>1.3514598577653809</v>
      </c>
      <c r="H10" s="189"/>
      <c r="I10" s="189"/>
      <c r="J10" s="189"/>
      <c r="K10" s="80">
        <f>K8-K9</f>
        <v>0</v>
      </c>
      <c r="L10" s="76">
        <f>K10+Q17</f>
        <v>0.16</v>
      </c>
      <c r="M10" s="59">
        <f t="shared" si="2"/>
        <v>-17.02</v>
      </c>
      <c r="N10" s="79"/>
      <c r="O10" s="335"/>
      <c r="P10" s="335"/>
      <c r="V10" s="56">
        <f t="shared" si="8"/>
        <v>54</v>
      </c>
      <c r="W10" s="52">
        <f t="shared" si="9"/>
        <v>1.58114147779326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17.792762436176353</v>
      </c>
      <c r="AC10" s="58">
        <f t="shared" si="5"/>
        <v>17.792762436176353</v>
      </c>
      <c r="AE10" s="57">
        <f t="shared" si="6"/>
        <v>25</v>
      </c>
      <c r="AF10" s="58">
        <f t="shared" si="1"/>
        <v>7.2727634113940987</v>
      </c>
      <c r="AG10" s="58">
        <f t="shared" si="7"/>
        <v>17.792762436176353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14.252919715530762</v>
      </c>
      <c r="G11" s="187">
        <f>AF3</f>
        <v>2.5029197155307621</v>
      </c>
      <c r="H11" s="189"/>
      <c r="I11" s="189"/>
      <c r="J11" s="189"/>
      <c r="K11" s="81">
        <f>G11-G10</f>
        <v>1.1514598577653812</v>
      </c>
      <c r="L11" s="76" t="s">
        <v>21</v>
      </c>
      <c r="N11" s="79"/>
      <c r="O11" s="335"/>
      <c r="V11" s="56">
        <f t="shared" si="8"/>
        <v>54</v>
      </c>
      <c r="W11" s="52">
        <f t="shared" si="9"/>
        <v>1.58114147779326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18.137077068016708</v>
      </c>
      <c r="AC11" s="58">
        <f t="shared" si="5"/>
        <v>18.137077068016708</v>
      </c>
      <c r="AE11" s="57">
        <f t="shared" si="6"/>
        <v>30</v>
      </c>
      <c r="AF11" s="58">
        <f t="shared" si="1"/>
        <v>7.6170780432344536</v>
      </c>
      <c r="AG11" s="58">
        <f t="shared" si="7"/>
        <v>18.137077068016708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15.018641399117225</v>
      </c>
      <c r="G12" s="187">
        <f t="shared" ref="G12:G74" si="14">AF4</f>
        <v>3.2686413991172252</v>
      </c>
      <c r="H12" s="189"/>
      <c r="I12" s="189"/>
      <c r="J12" s="189"/>
      <c r="K12" s="81">
        <f t="shared" ref="K12:K47" si="15">G12-G11</f>
        <v>0.76572168358646309</v>
      </c>
      <c r="L12" s="76" t="s">
        <v>21</v>
      </c>
      <c r="N12" s="79"/>
      <c r="O12" s="335"/>
      <c r="V12" s="56">
        <f t="shared" si="8"/>
        <v>54</v>
      </c>
      <c r="W12" s="52">
        <f t="shared" si="9"/>
        <v>1.58114147779326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18.428190941252474</v>
      </c>
      <c r="AC12" s="58">
        <f t="shared" si="5"/>
        <v>18.428190941252474</v>
      </c>
      <c r="AE12" s="57">
        <f t="shared" si="6"/>
        <v>35</v>
      </c>
      <c r="AF12" s="58">
        <f t="shared" si="1"/>
        <v>7.9081919164702192</v>
      </c>
      <c r="AG12" s="58">
        <f t="shared" si="7"/>
        <v>18.428190941252474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15.561929579654468</v>
      </c>
      <c r="G13" s="187">
        <f t="shared" si="14"/>
        <v>3.8119295796544677</v>
      </c>
      <c r="H13" s="189"/>
      <c r="I13" s="189"/>
      <c r="J13" s="189"/>
      <c r="K13" s="81">
        <f t="shared" si="15"/>
        <v>0.54328818053724248</v>
      </c>
      <c r="L13" s="76" t="s">
        <v>21</v>
      </c>
      <c r="M13" s="337">
        <v>0</v>
      </c>
      <c r="N13" s="79"/>
      <c r="O13" s="335"/>
      <c r="V13" s="56">
        <f t="shared" si="8"/>
        <v>54</v>
      </c>
      <c r="W13" s="52">
        <f t="shared" si="9"/>
        <v>1.58114147779326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18.680365248553951</v>
      </c>
      <c r="AC13" s="58">
        <f t="shared" si="5"/>
        <v>18.680365248553951</v>
      </c>
      <c r="AE13" s="57">
        <f t="shared" si="6"/>
        <v>40</v>
      </c>
      <c r="AF13" s="58">
        <f t="shared" si="1"/>
        <v>8.1603662237716961</v>
      </c>
      <c r="AG13" s="58">
        <f t="shared" si="7"/>
        <v>18.680365248553951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15.983336631400578</v>
      </c>
      <c r="G14" s="187">
        <f t="shared" si="14"/>
        <v>4.2333366314005776</v>
      </c>
      <c r="H14" s="189"/>
      <c r="I14" s="189"/>
      <c r="J14" s="189"/>
      <c r="K14" s="81">
        <f t="shared" si="15"/>
        <v>0.42140705174610993</v>
      </c>
      <c r="L14" s="76" t="s">
        <v>21</v>
      </c>
      <c r="N14" s="79"/>
      <c r="O14" s="335"/>
      <c r="V14" s="56">
        <f t="shared" si="8"/>
        <v>54</v>
      </c>
      <c r="W14" s="52">
        <f t="shared" si="9"/>
        <v>1.58114147779326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18.902798751603175</v>
      </c>
      <c r="AC14" s="58">
        <f t="shared" si="5"/>
        <v>18.902798751603175</v>
      </c>
      <c r="AE14" s="57">
        <f t="shared" si="6"/>
        <v>45</v>
      </c>
      <c r="AF14" s="58">
        <f t="shared" si="1"/>
        <v>8.3827997268209202</v>
      </c>
      <c r="AG14" s="58">
        <f t="shared" si="7"/>
        <v>18.902798751603175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17.292346495524285</v>
      </c>
      <c r="G15" s="187">
        <f t="shared" si="14"/>
        <v>5.5423464955242849</v>
      </c>
      <c r="H15" s="189"/>
      <c r="I15" s="189"/>
      <c r="J15" s="189"/>
      <c r="K15" s="81">
        <f t="shared" si="15"/>
        <v>1.3090098641237073</v>
      </c>
      <c r="L15" s="76" t="s">
        <v>21</v>
      </c>
      <c r="N15" s="82"/>
      <c r="O15" s="54"/>
      <c r="V15" s="56">
        <f t="shared" si="8"/>
        <v>54</v>
      </c>
      <c r="W15" s="52">
        <f t="shared" si="9"/>
        <v>1.58114147779326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19.101772300300059</v>
      </c>
      <c r="AC15" s="58">
        <f t="shared" si="5"/>
        <v>19.101772300300059</v>
      </c>
      <c r="AE15" s="57">
        <f t="shared" si="6"/>
        <v>50</v>
      </c>
      <c r="AF15" s="58">
        <f>AC15-$P$3</f>
        <v>8.5817732755178042</v>
      </c>
      <c r="AG15" s="58">
        <f t="shared" si="7"/>
        <v>19.101772300300059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18.058068179110748</v>
      </c>
      <c r="G16" s="187">
        <f t="shared" si="14"/>
        <v>6.308068179110748</v>
      </c>
      <c r="H16" s="189"/>
      <c r="I16" s="189"/>
      <c r="J16" s="189"/>
      <c r="K16" s="81">
        <f t="shared" si="15"/>
        <v>0.76572168358646309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54</v>
      </c>
      <c r="W16" s="52">
        <f t="shared" si="9"/>
        <v>1.58114147779326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19.281765769240494</v>
      </c>
      <c r="AC16" s="58">
        <f t="shared" si="5"/>
        <v>19.281765769240494</v>
      </c>
      <c r="AE16" s="57">
        <f t="shared" si="6"/>
        <v>55</v>
      </c>
      <c r="AF16" s="58">
        <f>AC16-$P$3</f>
        <v>8.7617667444582388</v>
      </c>
      <c r="AG16" s="58">
        <f t="shared" si="7"/>
        <v>19.281765769240494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18.601356359647991</v>
      </c>
      <c r="G17" s="187">
        <f t="shared" si="14"/>
        <v>6.8513563596479905</v>
      </c>
      <c r="H17" s="189"/>
      <c r="I17" s="189"/>
      <c r="J17" s="189"/>
      <c r="K17" s="81">
        <f t="shared" si="15"/>
        <v>0.54328818053724248</v>
      </c>
      <c r="L17" s="417">
        <f>D10</f>
        <v>1</v>
      </c>
      <c r="M17" s="418">
        <f>INT(B10/1440*10000)/10000</f>
        <v>3.7499999999999999E-2</v>
      </c>
      <c r="N17" s="418">
        <f>L17*M17</f>
        <v>3.7499999999999999E-2</v>
      </c>
      <c r="O17" s="418">
        <f>INT((D7/2/1000)^2*PI()*100000)/100000</f>
        <v>3.141E-2</v>
      </c>
      <c r="P17" s="418">
        <f>INT(N17/O17*100)/100</f>
        <v>1.19</v>
      </c>
      <c r="Q17" s="419">
        <f>INT((G10-P17)*100)/100</f>
        <v>0.16</v>
      </c>
      <c r="V17" s="56">
        <f t="shared" si="8"/>
        <v>54</v>
      </c>
      <c r="W17" s="52">
        <f t="shared" si="9"/>
        <v>1.58114147779326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19.446086932140414</v>
      </c>
      <c r="AC17" s="58">
        <f t="shared" si="5"/>
        <v>19.446086932140414</v>
      </c>
      <c r="AE17" s="57">
        <f t="shared" si="6"/>
        <v>60</v>
      </c>
      <c r="AF17" s="58">
        <f>AC17-$P$3</f>
        <v>8.9260879073581592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19.022763411394099</v>
      </c>
      <c r="G18" s="187">
        <f t="shared" si="14"/>
        <v>7.2727634113940987</v>
      </c>
      <c r="H18" s="189"/>
      <c r="I18" s="189"/>
      <c r="J18" s="189"/>
      <c r="K18" s="81">
        <f t="shared" si="15"/>
        <v>0.42140705174610815</v>
      </c>
      <c r="L18" s="417">
        <f t="shared" ref="L18:L31" si="16">D11</f>
        <v>2</v>
      </c>
      <c r="M18" s="418">
        <f>M17</f>
        <v>3.7499999999999999E-2</v>
      </c>
      <c r="N18" s="418">
        <f>L18*M18</f>
        <v>7.4999999999999997E-2</v>
      </c>
      <c r="O18" s="418">
        <f>O17</f>
        <v>3.141E-2</v>
      </c>
      <c r="P18" s="418">
        <f>INT(N18/O18*100)/100</f>
        <v>2.38</v>
      </c>
      <c r="Q18" s="419">
        <f t="shared" ref="Q18:Q27" si="17">INT((G11-P18)*100)/100</f>
        <v>0.12</v>
      </c>
      <c r="V18" s="56">
        <f t="shared" si="8"/>
        <v>54</v>
      </c>
      <c r="W18" s="52">
        <f t="shared" si="9"/>
        <v>1.58114147779326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19.867493983886526</v>
      </c>
      <c r="AC18" s="58">
        <f t="shared" si="5"/>
        <v>19.867493983886526</v>
      </c>
      <c r="AE18" s="57">
        <f t="shared" si="6"/>
        <v>75</v>
      </c>
      <c r="AF18" s="58">
        <f>AC18-$P$3</f>
        <v>9.3474949591042709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19.367078043234454</v>
      </c>
      <c r="G19" s="187">
        <f t="shared" si="14"/>
        <v>7.6170780432344536</v>
      </c>
      <c r="H19" s="189"/>
      <c r="I19" s="189"/>
      <c r="J19" s="189"/>
      <c r="K19" s="81">
        <f t="shared" si="15"/>
        <v>0.34431463184035493</v>
      </c>
      <c r="L19" s="417">
        <f t="shared" si="16"/>
        <v>3</v>
      </c>
      <c r="M19" s="418">
        <f>M18</f>
        <v>3.7499999999999999E-2</v>
      </c>
      <c r="N19" s="418">
        <f t="shared" ref="N19:N27" si="18">L19*M19</f>
        <v>0.11249999999999999</v>
      </c>
      <c r="O19" s="418">
        <f t="shared" ref="O19:O31" si="19">O18</f>
        <v>3.141E-2</v>
      </c>
      <c r="P19" s="418">
        <f>INT(N19/O19*100)/100</f>
        <v>3.58</v>
      </c>
      <c r="Q19" s="419">
        <f t="shared" si="17"/>
        <v>-0.32</v>
      </c>
      <c r="V19" s="56">
        <f t="shared" si="8"/>
        <v>54</v>
      </c>
      <c r="W19" s="52">
        <f t="shared" si="9"/>
        <v>1.58114147779326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20.211808615726881</v>
      </c>
      <c r="AC19" s="58">
        <f t="shared" si="5"/>
        <v>20.211808615726881</v>
      </c>
      <c r="AE19" s="57">
        <f t="shared" si="6"/>
        <v>90</v>
      </c>
      <c r="AF19" s="58">
        <f>AC19-$P$3</f>
        <v>9.6918095909446258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19.658191916470219</v>
      </c>
      <c r="G20" s="187">
        <f t="shared" si="14"/>
        <v>7.9081919164702192</v>
      </c>
      <c r="H20" s="189"/>
      <c r="I20" s="189"/>
      <c r="J20" s="189"/>
      <c r="K20" s="81">
        <f t="shared" si="15"/>
        <v>0.29111387323576565</v>
      </c>
      <c r="L20" s="417">
        <f t="shared" si="16"/>
        <v>4</v>
      </c>
      <c r="M20" s="418">
        <f>M19</f>
        <v>3.7499999999999999E-2</v>
      </c>
      <c r="N20" s="418">
        <f>L20*M20</f>
        <v>0.15</v>
      </c>
      <c r="O20" s="418">
        <f>O19</f>
        <v>3.141E-2</v>
      </c>
      <c r="P20" s="418">
        <f>INT(N20/O20*100)/100</f>
        <v>4.7699999999999996</v>
      </c>
      <c r="Q20" s="419">
        <f t="shared" si="17"/>
        <v>-0.96</v>
      </c>
      <c r="V20" s="56">
        <f t="shared" si="8"/>
        <v>54</v>
      </c>
      <c r="W20" s="52">
        <f t="shared" si="9"/>
        <v>1.58114147779326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20.502922488962646</v>
      </c>
      <c r="AC20" s="58">
        <f t="shared" si="5"/>
        <v>20.502922488962646</v>
      </c>
      <c r="AE20" s="57">
        <f t="shared" si="6"/>
        <v>105</v>
      </c>
      <c r="AF20" s="58">
        <f t="shared" ref="AF20:AF69" si="20">AC20-$P$3</f>
        <v>9.9829234641803914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19.910366223771696</v>
      </c>
      <c r="G21" s="187">
        <f t="shared" si="14"/>
        <v>8.1603662237716961</v>
      </c>
      <c r="H21" s="189"/>
      <c r="I21" s="189"/>
      <c r="J21" s="189"/>
      <c r="K21" s="81">
        <f t="shared" si="15"/>
        <v>0.25217430730147683</v>
      </c>
      <c r="L21" s="417">
        <f t="shared" si="16"/>
        <v>5</v>
      </c>
      <c r="M21" s="418">
        <f>M20</f>
        <v>3.7499999999999999E-2</v>
      </c>
      <c r="N21" s="418">
        <f t="shared" si="18"/>
        <v>0.1875</v>
      </c>
      <c r="O21" s="418">
        <f t="shared" si="19"/>
        <v>3.141E-2</v>
      </c>
      <c r="P21" s="418">
        <f>INT(N21/O21*100)/100</f>
        <v>5.96</v>
      </c>
      <c r="Q21" s="419">
        <f t="shared" si="17"/>
        <v>-1.73</v>
      </c>
      <c r="V21" s="56">
        <f t="shared" si="8"/>
        <v>54</v>
      </c>
      <c r="W21" s="52">
        <f t="shared" si="9"/>
        <v>1.58114147779326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20.755096796264123</v>
      </c>
      <c r="AC21" s="58">
        <f t="shared" si="5"/>
        <v>20.755096796264123</v>
      </c>
      <c r="AE21" s="57">
        <f t="shared" si="6"/>
        <v>120</v>
      </c>
      <c r="AF21" s="58">
        <f t="shared" si="20"/>
        <v>10.235097771481868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20.13279972682092</v>
      </c>
      <c r="G22" s="187">
        <f t="shared" si="14"/>
        <v>8.3827997268209202</v>
      </c>
      <c r="H22" s="189"/>
      <c r="I22" s="189"/>
      <c r="J22" s="189"/>
      <c r="K22" s="81">
        <f t="shared" si="15"/>
        <v>0.22243350304922416</v>
      </c>
      <c r="L22" s="417">
        <f t="shared" si="16"/>
        <v>10</v>
      </c>
      <c r="M22" s="418">
        <f t="shared" ref="M22:M31" si="21">M21</f>
        <v>3.7499999999999999E-2</v>
      </c>
      <c r="N22" s="418">
        <f>L22*M22</f>
        <v>0.375</v>
      </c>
      <c r="O22" s="418">
        <f>O21</f>
        <v>3.141E-2</v>
      </c>
      <c r="P22" s="418">
        <f t="shared" ref="P22:P27" si="22">INT(N22/O22*100)/100</f>
        <v>11.93</v>
      </c>
      <c r="Q22" s="419">
        <f t="shared" si="17"/>
        <v>-6.39</v>
      </c>
      <c r="V22" s="56">
        <f t="shared" si="8"/>
        <v>54</v>
      </c>
      <c r="W22" s="52">
        <f t="shared" si="9"/>
        <v>1.58114147779326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21.046210669499889</v>
      </c>
      <c r="AC22" s="58">
        <f t="shared" si="5"/>
        <v>21.046210669499889</v>
      </c>
      <c r="AE22" s="57">
        <f t="shared" si="6"/>
        <v>140</v>
      </c>
      <c r="AF22" s="58">
        <f t="shared" si="20"/>
        <v>10.526211644717634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20.331773275517804</v>
      </c>
      <c r="G23" s="187">
        <f t="shared" si="14"/>
        <v>8.5817732755178042</v>
      </c>
      <c r="H23" s="189"/>
      <c r="I23" s="189"/>
      <c r="J23" s="189"/>
      <c r="K23" s="81">
        <f t="shared" si="15"/>
        <v>0.198973548696884</v>
      </c>
      <c r="L23" s="417">
        <f t="shared" si="16"/>
        <v>15</v>
      </c>
      <c r="M23" s="418">
        <f t="shared" si="21"/>
        <v>3.7499999999999999E-2</v>
      </c>
      <c r="N23" s="418">
        <f t="shared" si="18"/>
        <v>0.5625</v>
      </c>
      <c r="O23" s="418">
        <f t="shared" si="19"/>
        <v>3.141E-2</v>
      </c>
      <c r="P23" s="418">
        <f t="shared" si="22"/>
        <v>17.899999999999999</v>
      </c>
      <c r="Q23" s="419">
        <f t="shared" si="17"/>
        <v>-11.6</v>
      </c>
      <c r="V23" s="56">
        <f t="shared" si="8"/>
        <v>54</v>
      </c>
      <c r="W23" s="52">
        <f t="shared" si="9"/>
        <v>1.58114147779326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21.298384976801366</v>
      </c>
      <c r="AC23" s="58">
        <f t="shared" si="5"/>
        <v>21.298384976801366</v>
      </c>
      <c r="AE23" s="57">
        <f t="shared" si="6"/>
        <v>160</v>
      </c>
      <c r="AF23" s="58">
        <f t="shared" si="20"/>
        <v>10.778385952019111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20.511766744458239</v>
      </c>
      <c r="G24" s="187">
        <f t="shared" si="14"/>
        <v>8.7617667444582388</v>
      </c>
      <c r="H24" s="189"/>
      <c r="I24" s="189"/>
      <c r="J24" s="189"/>
      <c r="K24" s="81">
        <f t="shared" si="15"/>
        <v>0.17999346894043455</v>
      </c>
      <c r="L24" s="417">
        <f t="shared" si="16"/>
        <v>20</v>
      </c>
      <c r="M24" s="418">
        <f t="shared" si="21"/>
        <v>3.7499999999999999E-2</v>
      </c>
      <c r="N24" s="418">
        <f t="shared" si="18"/>
        <v>0.75</v>
      </c>
      <c r="O24" s="418">
        <f t="shared" si="19"/>
        <v>3.141E-2</v>
      </c>
      <c r="P24" s="418">
        <f t="shared" si="22"/>
        <v>23.87</v>
      </c>
      <c r="Q24" s="419">
        <f t="shared" si="17"/>
        <v>-17.02</v>
      </c>
      <c r="V24" s="56">
        <f t="shared" si="8"/>
        <v>54</v>
      </c>
      <c r="W24" s="52">
        <f t="shared" si="9"/>
        <v>1.58114147779326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21.520818479850586</v>
      </c>
      <c r="AC24" s="58">
        <f t="shared" si="5"/>
        <v>21.520818479850586</v>
      </c>
      <c r="AE24" s="57">
        <f t="shared" si="6"/>
        <v>180</v>
      </c>
      <c r="AF24" s="58">
        <f t="shared" si="20"/>
        <v>11.000819455068331</v>
      </c>
    </row>
    <row r="25" spans="1:32" s="52" customFormat="1" ht="21" customHeight="1">
      <c r="A25" s="183"/>
      <c r="B25" s="183"/>
      <c r="C25" s="185">
        <f>$C$10+D25/1440</f>
        <v>45299.479166666664</v>
      </c>
      <c r="D25" s="186">
        <v>60</v>
      </c>
      <c r="E25" s="176">
        <f t="shared" si="12"/>
        <v>4.1666666666666664E-2</v>
      </c>
      <c r="F25" s="187">
        <f t="shared" si="13"/>
        <v>20.676087907358159</v>
      </c>
      <c r="G25" s="187">
        <f t="shared" si="14"/>
        <v>8.9260879073581592</v>
      </c>
      <c r="H25" s="189"/>
      <c r="I25" s="189"/>
      <c r="J25" s="189"/>
      <c r="K25" s="81">
        <f t="shared" si="15"/>
        <v>0.16432116289992038</v>
      </c>
      <c r="L25" s="417">
        <f t="shared" si="16"/>
        <v>25</v>
      </c>
      <c r="M25" s="418">
        <f t="shared" si="21"/>
        <v>3.7499999999999999E-2</v>
      </c>
      <c r="N25" s="418">
        <f t="shared" si="18"/>
        <v>0.9375</v>
      </c>
      <c r="O25" s="418">
        <f t="shared" si="19"/>
        <v>3.141E-2</v>
      </c>
      <c r="P25" s="418">
        <f t="shared" si="22"/>
        <v>29.84</v>
      </c>
      <c r="Q25" s="419">
        <f t="shared" si="17"/>
        <v>-22.57</v>
      </c>
      <c r="V25" s="56">
        <f t="shared" si="8"/>
        <v>54</v>
      </c>
      <c r="W25" s="52">
        <f t="shared" si="9"/>
        <v>1.58114147779326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22.064106660387829</v>
      </c>
      <c r="AC25" s="58">
        <f t="shared" si="5"/>
        <v>22.064106660387829</v>
      </c>
      <c r="AE25" s="57">
        <f t="shared" si="6"/>
        <v>240</v>
      </c>
      <c r="AF25" s="58">
        <f t="shared" si="20"/>
        <v>11.544107635605574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21.097494959104271</v>
      </c>
      <c r="G26" s="187">
        <f t="shared" si="14"/>
        <v>9.3474949591042709</v>
      </c>
      <c r="H26" s="189"/>
      <c r="I26" s="189"/>
      <c r="J26" s="189"/>
      <c r="K26" s="81">
        <f t="shared" si="15"/>
        <v>0.4214070517461117</v>
      </c>
      <c r="L26" s="417">
        <f t="shared" si="16"/>
        <v>30</v>
      </c>
      <c r="M26" s="418">
        <f t="shared" si="21"/>
        <v>3.7499999999999999E-2</v>
      </c>
      <c r="N26" s="418">
        <f t="shared" si="18"/>
        <v>1.125</v>
      </c>
      <c r="O26" s="418">
        <f t="shared" si="19"/>
        <v>3.141E-2</v>
      </c>
      <c r="P26" s="418">
        <f t="shared" si="22"/>
        <v>35.81</v>
      </c>
      <c r="Q26" s="419">
        <f t="shared" si="17"/>
        <v>-28.2</v>
      </c>
      <c r="V26" s="56">
        <f t="shared" si="8"/>
        <v>54</v>
      </c>
      <c r="W26" s="52">
        <f t="shared" si="9"/>
        <v>1.58114147779326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22.485513712133937</v>
      </c>
      <c r="AC26" s="58">
        <f t="shared" si="5"/>
        <v>22.485513712133937</v>
      </c>
      <c r="AE26" s="57">
        <f t="shared" si="6"/>
        <v>300</v>
      </c>
      <c r="AF26" s="58">
        <f t="shared" si="20"/>
        <v>11.965514687351682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21.441809590944626</v>
      </c>
      <c r="G27" s="187">
        <f t="shared" si="14"/>
        <v>9.6918095909446258</v>
      </c>
      <c r="H27" s="189"/>
      <c r="I27" s="189"/>
      <c r="J27" s="189"/>
      <c r="K27" s="81">
        <f t="shared" si="15"/>
        <v>0.34431463184035493</v>
      </c>
      <c r="L27" s="417">
        <f t="shared" si="16"/>
        <v>35</v>
      </c>
      <c r="M27" s="418">
        <f t="shared" si="21"/>
        <v>3.7499999999999999E-2</v>
      </c>
      <c r="N27" s="418">
        <f t="shared" si="18"/>
        <v>1.3125</v>
      </c>
      <c r="O27" s="418">
        <f t="shared" si="19"/>
        <v>3.141E-2</v>
      </c>
      <c r="P27" s="418">
        <f t="shared" si="22"/>
        <v>41.78</v>
      </c>
      <c r="Q27" s="419">
        <f t="shared" si="17"/>
        <v>-33.880000000000003</v>
      </c>
      <c r="V27" s="56">
        <f t="shared" si="8"/>
        <v>54</v>
      </c>
      <c r="W27" s="52">
        <f t="shared" si="9"/>
        <v>1.58114147779326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22.829828343974292</v>
      </c>
      <c r="AC27" s="58">
        <f t="shared" si="5"/>
        <v>22.829828343974292</v>
      </c>
      <c r="AE27" s="57">
        <f t="shared" si="6"/>
        <v>360</v>
      </c>
      <c r="AF27" s="58">
        <f t="shared" si="20"/>
        <v>12.309829319192037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21.732923464180391</v>
      </c>
      <c r="G28" s="187">
        <f t="shared" si="14"/>
        <v>9.9829234641803914</v>
      </c>
      <c r="H28" s="189"/>
      <c r="I28" s="189"/>
      <c r="J28" s="189"/>
      <c r="K28" s="81">
        <f t="shared" si="15"/>
        <v>0.29111387323576565</v>
      </c>
      <c r="L28" s="417">
        <f t="shared" si="16"/>
        <v>40</v>
      </c>
      <c r="M28" s="418">
        <f t="shared" si="21"/>
        <v>3.7499999999999999E-2</v>
      </c>
      <c r="N28" s="418">
        <f>L28*M28</f>
        <v>1.5</v>
      </c>
      <c r="O28" s="418">
        <f t="shared" si="19"/>
        <v>3.141E-2</v>
      </c>
      <c r="P28" s="418">
        <f>INT(N28/O28*100)/100</f>
        <v>47.75</v>
      </c>
      <c r="Q28" s="419">
        <f>INT((G21-P28)*100)/100</f>
        <v>-39.590000000000003</v>
      </c>
      <c r="S28"/>
      <c r="V28" s="56">
        <f t="shared" si="8"/>
        <v>54</v>
      </c>
      <c r="W28" s="52">
        <f t="shared" si="9"/>
        <v>1.58114147779326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23.120942217210057</v>
      </c>
      <c r="AC28" s="58">
        <f t="shared" si="5"/>
        <v>23.120942217210057</v>
      </c>
      <c r="AE28" s="57">
        <f t="shared" si="6"/>
        <v>420</v>
      </c>
      <c r="AF28" s="58">
        <f t="shared" si="20"/>
        <v>12.600943192427803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21.985097771481868</v>
      </c>
      <c r="G29" s="187">
        <f t="shared" si="14"/>
        <v>10.235097771481868</v>
      </c>
      <c r="H29" s="189"/>
      <c r="I29" s="189"/>
      <c r="J29" s="189"/>
      <c r="K29" s="81">
        <f t="shared" si="15"/>
        <v>0.25217430730147683</v>
      </c>
      <c r="L29" s="417">
        <f t="shared" si="16"/>
        <v>45</v>
      </c>
      <c r="M29" s="418">
        <f t="shared" si="21"/>
        <v>3.7499999999999999E-2</v>
      </c>
      <c r="N29" s="418">
        <f>L29*M29</f>
        <v>1.6875</v>
      </c>
      <c r="O29" s="418">
        <f t="shared" si="19"/>
        <v>3.141E-2</v>
      </c>
      <c r="P29" s="418">
        <f>INT(N29/O29*100)/100</f>
        <v>53.72</v>
      </c>
      <c r="Q29" s="419">
        <f>INT((G22-P29)*100)/100</f>
        <v>-45.34</v>
      </c>
      <c r="V29" s="56">
        <f t="shared" si="8"/>
        <v>54</v>
      </c>
      <c r="W29" s="52">
        <f t="shared" si="9"/>
        <v>1.58114147779326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23.373116524511534</v>
      </c>
      <c r="AC29" s="58">
        <f t="shared" si="5"/>
        <v>23.373116524511534</v>
      </c>
      <c r="AE29" s="57">
        <f t="shared" si="6"/>
        <v>480</v>
      </c>
      <c r="AF29" s="58">
        <f t="shared" si="20"/>
        <v>12.853117499729279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22.276211644717634</v>
      </c>
      <c r="G30" s="187">
        <f t="shared" si="14"/>
        <v>10.526211644717634</v>
      </c>
      <c r="H30" s="189"/>
      <c r="I30" s="189"/>
      <c r="J30" s="189"/>
      <c r="K30" s="81">
        <f t="shared" si="15"/>
        <v>0.29111387323576565</v>
      </c>
      <c r="L30" s="417">
        <f t="shared" si="16"/>
        <v>50</v>
      </c>
      <c r="M30" s="418">
        <f t="shared" si="21"/>
        <v>3.7499999999999999E-2</v>
      </c>
      <c r="N30" s="418">
        <f>L30*M30</f>
        <v>1.875</v>
      </c>
      <c r="O30" s="418">
        <f t="shared" si="19"/>
        <v>3.141E-2</v>
      </c>
      <c r="P30" s="418">
        <f>INT(N30/O30*100)/100</f>
        <v>59.69</v>
      </c>
      <c r="Q30" s="419">
        <f>INT((G23-P30)*100)/100</f>
        <v>-51.11</v>
      </c>
      <c r="V30" s="56">
        <f t="shared" si="8"/>
        <v>54</v>
      </c>
      <c r="W30" s="52">
        <f t="shared" si="9"/>
        <v>1.58114147779326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23.595550027560758</v>
      </c>
      <c r="AC30" s="58">
        <f t="shared" si="5"/>
        <v>23.595550027560758</v>
      </c>
      <c r="AE30" s="57">
        <f t="shared" si="6"/>
        <v>540</v>
      </c>
      <c r="AF30" s="58">
        <f t="shared" si="20"/>
        <v>13.075551002778504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22.528385952019111</v>
      </c>
      <c r="G31" s="187">
        <f t="shared" si="14"/>
        <v>10.778385952019111</v>
      </c>
      <c r="H31" s="189"/>
      <c r="I31" s="189"/>
      <c r="J31" s="189"/>
      <c r="K31" s="81">
        <f t="shared" si="15"/>
        <v>0.25217430730147683</v>
      </c>
      <c r="L31" s="417">
        <f t="shared" si="16"/>
        <v>55</v>
      </c>
      <c r="M31" s="418">
        <f t="shared" si="21"/>
        <v>3.7499999999999999E-2</v>
      </c>
      <c r="N31" s="418">
        <f>L31*M31</f>
        <v>2.0625</v>
      </c>
      <c r="O31" s="418">
        <f t="shared" si="19"/>
        <v>3.141E-2</v>
      </c>
      <c r="P31" s="418">
        <f>INT(N31/O31*100)/100</f>
        <v>65.66</v>
      </c>
      <c r="Q31" s="419">
        <f>INT((G24-P31)*100)/100</f>
        <v>-56.9</v>
      </c>
      <c r="V31" s="56">
        <f t="shared" si="8"/>
        <v>54</v>
      </c>
      <c r="W31" s="52">
        <f t="shared" si="9"/>
        <v>1.58114147779326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23.794523576257642</v>
      </c>
      <c r="AC31" s="58">
        <f t="shared" si="5"/>
        <v>23.794523576257642</v>
      </c>
      <c r="AE31" s="57">
        <f t="shared" si="6"/>
        <v>600</v>
      </c>
      <c r="AF31" s="58">
        <f t="shared" si="20"/>
        <v>13.274524551475388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22.750819455068331</v>
      </c>
      <c r="G32" s="187">
        <f t="shared" si="14"/>
        <v>11.000819455068331</v>
      </c>
      <c r="H32" s="189"/>
      <c r="I32" s="189"/>
      <c r="J32" s="189"/>
      <c r="K32" s="81">
        <f t="shared" si="15"/>
        <v>0.2224335030492206</v>
      </c>
      <c r="L32" s="83" t="s">
        <v>21</v>
      </c>
      <c r="O32" s="85"/>
      <c r="V32" s="56">
        <f t="shared" si="8"/>
        <v>54</v>
      </c>
      <c r="W32" s="52">
        <f t="shared" si="9"/>
        <v>1.58114147779326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23.974517045198077</v>
      </c>
      <c r="AC32" s="58">
        <f t="shared" si="5"/>
        <v>23.974517045198077</v>
      </c>
      <c r="AE32" s="57">
        <f t="shared" si="6"/>
        <v>660</v>
      </c>
      <c r="AF32" s="58">
        <f t="shared" si="20"/>
        <v>13.454518020415822</v>
      </c>
    </row>
    <row r="33" spans="1:32" s="52" customFormat="1" ht="21" customHeight="1">
      <c r="A33" s="183"/>
      <c r="B33" s="183"/>
      <c r="C33" s="185">
        <f>$C$10+D33/1440</f>
        <v>45299.604166666664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23.294107635605574</v>
      </c>
      <c r="G33" s="187">
        <f t="shared" si="14"/>
        <v>11.544107635605574</v>
      </c>
      <c r="H33" s="189"/>
      <c r="I33" s="189"/>
      <c r="J33" s="189"/>
      <c r="K33" s="81">
        <f t="shared" si="15"/>
        <v>0.54328818053724248</v>
      </c>
      <c r="L33" s="76" t="s">
        <v>21</v>
      </c>
      <c r="O33" s="85"/>
      <c r="V33" s="56">
        <f t="shared" si="8"/>
        <v>54</v>
      </c>
      <c r="W33" s="52">
        <f t="shared" si="9"/>
        <v>1.58114147779326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24.138838208098001</v>
      </c>
      <c r="AC33" s="58">
        <f t="shared" si="5"/>
        <v>24.138838208098001</v>
      </c>
      <c r="AE33" s="57">
        <f t="shared" si="6"/>
        <v>720</v>
      </c>
      <c r="AF33" s="58">
        <f t="shared" si="20"/>
        <v>13.618839183315746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23.715514687351682</v>
      </c>
      <c r="G34" s="187">
        <f t="shared" si="14"/>
        <v>11.965514687351682</v>
      </c>
      <c r="H34" s="189"/>
      <c r="I34" s="189"/>
      <c r="J34" s="189"/>
      <c r="K34" s="81">
        <f t="shared" si="15"/>
        <v>0.42140705174610815</v>
      </c>
      <c r="L34" s="76" t="s">
        <v>21</v>
      </c>
      <c r="P34" s="85"/>
      <c r="V34" s="56">
        <f t="shared" si="8"/>
        <v>54</v>
      </c>
      <c r="W34" s="52">
        <f t="shared" si="9"/>
        <v>1.58114147779326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24.289999024782254</v>
      </c>
      <c r="AC34" s="58">
        <f t="shared" si="5"/>
        <v>24.289999024782254</v>
      </c>
      <c r="AE34" s="57">
        <f t="shared" si="6"/>
        <v>780</v>
      </c>
      <c r="AF34" s="58">
        <f t="shared" si="20"/>
        <v>13.77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24.059829319192037</v>
      </c>
      <c r="G35" s="187">
        <f t="shared" si="14"/>
        <v>12.309829319192037</v>
      </c>
      <c r="H35" s="189"/>
      <c r="I35" s="189"/>
      <c r="J35" s="189"/>
      <c r="K35" s="81">
        <f t="shared" si="15"/>
        <v>0.34431463184035493</v>
      </c>
      <c r="L35" s="76" t="s">
        <v>21</v>
      </c>
      <c r="O35" s="85"/>
      <c r="V35" s="56">
        <f t="shared" si="8"/>
        <v>54</v>
      </c>
      <c r="W35" s="52">
        <f t="shared" si="9"/>
        <v>1.58114147779326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24.289999024782254</v>
      </c>
      <c r="AC35" s="58">
        <f t="shared" ref="AC35:AC38" si="24">AC34</f>
        <v>24.289999024782254</v>
      </c>
      <c r="AE35" s="57">
        <f t="shared" si="6"/>
        <v>840</v>
      </c>
      <c r="AF35" s="58">
        <f t="shared" si="20"/>
        <v>13.77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24.350943192427803</v>
      </c>
      <c r="G36" s="187">
        <f t="shared" si="14"/>
        <v>12.600943192427803</v>
      </c>
      <c r="H36" s="189"/>
      <c r="I36" s="189"/>
      <c r="J36" s="189"/>
      <c r="K36" s="81">
        <f t="shared" si="15"/>
        <v>0.29111387323576565</v>
      </c>
      <c r="L36" s="76" t="s">
        <v>21</v>
      </c>
      <c r="V36" s="56">
        <f t="shared" si="8"/>
        <v>54</v>
      </c>
      <c r="W36" s="52">
        <f t="shared" si="9"/>
        <v>1.58114147779326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24.289999024782254</v>
      </c>
      <c r="AC36" s="58">
        <f t="shared" si="24"/>
        <v>24.289999024782254</v>
      </c>
      <c r="AE36" s="57">
        <f t="shared" si="6"/>
        <v>900</v>
      </c>
      <c r="AF36" s="58">
        <f t="shared" si="20"/>
        <v>13.77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24.603117499729279</v>
      </c>
      <c r="G37" s="187">
        <f t="shared" si="14"/>
        <v>12.853117499729279</v>
      </c>
      <c r="H37" s="189"/>
      <c r="I37" s="189"/>
      <c r="J37" s="189"/>
      <c r="K37" s="81">
        <f t="shared" si="15"/>
        <v>0.25217430730147683</v>
      </c>
      <c r="L37" s="76" t="s">
        <v>21</v>
      </c>
      <c r="V37" s="56">
        <f t="shared" si="8"/>
        <v>54</v>
      </c>
      <c r="W37" s="52">
        <f t="shared" si="9"/>
        <v>1.58114147779326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24.289999024782254</v>
      </c>
      <c r="AC37" s="58">
        <f t="shared" si="24"/>
        <v>24.289999024782254</v>
      </c>
      <c r="AD37" s="52">
        <v>37</v>
      </c>
      <c r="AE37" s="57">
        <f t="shared" si="6"/>
        <v>960</v>
      </c>
      <c r="AF37" s="58">
        <f t="shared" si="20"/>
        <v>13.77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24.825551002778504</v>
      </c>
      <c r="G38" s="187">
        <f t="shared" si="14"/>
        <v>13.075551002778504</v>
      </c>
      <c r="H38" s="189"/>
      <c r="I38" s="189"/>
      <c r="J38" s="189"/>
      <c r="K38" s="81">
        <f t="shared" si="15"/>
        <v>0.22243350304922416</v>
      </c>
      <c r="L38" s="76" t="s">
        <v>21</v>
      </c>
      <c r="V38" s="56">
        <f t="shared" si="8"/>
        <v>54</v>
      </c>
      <c r="W38" s="52">
        <f t="shared" si="9"/>
        <v>1.58114147779326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24.289999024782254</v>
      </c>
      <c r="AC38" s="58">
        <f t="shared" si="24"/>
        <v>24.289999024782254</v>
      </c>
      <c r="AD38" s="53" t="s">
        <v>40</v>
      </c>
      <c r="AE38" s="57">
        <f t="shared" si="6"/>
        <v>1020</v>
      </c>
      <c r="AF38" s="58">
        <f t="shared" si="20"/>
        <v>13.77</v>
      </c>
    </row>
    <row r="39" spans="1:32" s="52" customFormat="1" ht="21" customHeight="1">
      <c r="A39" s="183"/>
      <c r="B39" s="183"/>
      <c r="C39" s="185">
        <f>$C$10+D39/1440</f>
        <v>45299.854166666664</v>
      </c>
      <c r="D39" s="186">
        <f t="shared" si="23"/>
        <v>600</v>
      </c>
      <c r="E39" s="176">
        <f t="shared" si="12"/>
        <v>0.41666666666666669</v>
      </c>
      <c r="F39" s="187">
        <f t="shared" si="13"/>
        <v>25.024524551475388</v>
      </c>
      <c r="G39" s="187">
        <f t="shared" si="14"/>
        <v>13.274524551475388</v>
      </c>
      <c r="H39" s="189"/>
      <c r="I39" s="189"/>
      <c r="J39" s="189"/>
      <c r="K39" s="81">
        <f t="shared" si="15"/>
        <v>0.198973548696884</v>
      </c>
      <c r="L39" s="76" t="s">
        <v>21</v>
      </c>
      <c r="V39" s="56">
        <f t="shared" si="8"/>
        <v>54</v>
      </c>
      <c r="W39" s="52">
        <f t="shared" si="9"/>
        <v>1.58114147779326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24.289999024782254</v>
      </c>
      <c r="AC39" s="58">
        <f t="shared" ref="AC39:AC40" si="25">AC38</f>
        <v>24.289999024782254</v>
      </c>
      <c r="AD39" s="86">
        <v>39</v>
      </c>
      <c r="AE39" s="57">
        <f t="shared" si="6"/>
        <v>1080</v>
      </c>
      <c r="AF39" s="58">
        <f t="shared" si="20"/>
        <v>13.77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25.204518020415822</v>
      </c>
      <c r="G40" s="187">
        <f t="shared" si="14"/>
        <v>13.454518020415822</v>
      </c>
      <c r="H40" s="189"/>
      <c r="I40" s="189"/>
      <c r="J40" s="189"/>
      <c r="K40" s="81">
        <f t="shared" si="15"/>
        <v>0.17999346894043455</v>
      </c>
      <c r="L40" s="76" t="s">
        <v>21</v>
      </c>
      <c r="V40" s="56">
        <f t="shared" si="8"/>
        <v>54</v>
      </c>
      <c r="W40" s="52">
        <f t="shared" si="9"/>
        <v>1.58114147779326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24.289999024782254</v>
      </c>
      <c r="AC40" s="58">
        <f t="shared" si="25"/>
        <v>24.289999024782254</v>
      </c>
      <c r="AD40" s="86">
        <v>40</v>
      </c>
      <c r="AE40" s="57">
        <f t="shared" si="6"/>
        <v>1140</v>
      </c>
      <c r="AF40" s="58">
        <f t="shared" si="20"/>
        <v>13.77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25.368839183315746</v>
      </c>
      <c r="G41" s="187">
        <f t="shared" si="14"/>
        <v>13.618839183315746</v>
      </c>
      <c r="H41" s="189"/>
      <c r="I41" s="189"/>
      <c r="J41" s="189"/>
      <c r="K41" s="81">
        <f t="shared" si="15"/>
        <v>0.16432116289992393</v>
      </c>
      <c r="L41" s="76" t="s">
        <v>21</v>
      </c>
      <c r="V41" s="87">
        <f t="shared" si="8"/>
        <v>54</v>
      </c>
      <c r="W41" s="88">
        <f t="shared" si="9"/>
        <v>1.58114147779326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24.289999024782254</v>
      </c>
      <c r="AC41" s="58">
        <f t="shared" ref="AC41:AC46" si="26">AC40</f>
        <v>24.289999024782254</v>
      </c>
      <c r="AD41" s="91">
        <v>41</v>
      </c>
      <c r="AE41" s="57">
        <f t="shared" si="6"/>
        <v>1200</v>
      </c>
      <c r="AF41" s="58">
        <f t="shared" si="20"/>
        <v>13.77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25.52</v>
      </c>
      <c r="G42" s="187">
        <f t="shared" si="14"/>
        <v>13.77</v>
      </c>
      <c r="H42" s="189"/>
      <c r="I42" s="189"/>
      <c r="J42" s="189"/>
      <c r="K42" s="81">
        <f t="shared" si="15"/>
        <v>0.15116081668425352</v>
      </c>
      <c r="L42" s="76" t="s">
        <v>21</v>
      </c>
      <c r="V42" s="56">
        <f t="shared" si="8"/>
        <v>54</v>
      </c>
      <c r="W42" s="52">
        <f t="shared" si="9"/>
        <v>1.58114147779326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24.289999024782254</v>
      </c>
      <c r="AC42" s="58">
        <f t="shared" si="26"/>
        <v>24.289999024782254</v>
      </c>
      <c r="AD42" s="86">
        <v>42</v>
      </c>
      <c r="AE42" s="57">
        <f t="shared" si="6"/>
        <v>1260</v>
      </c>
      <c r="AF42" s="58">
        <f t="shared" si="20"/>
        <v>13.77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25.52</v>
      </c>
      <c r="G43" s="187">
        <f t="shared" si="14"/>
        <v>13.77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54</v>
      </c>
      <c r="W43" s="88">
        <f t="shared" si="9"/>
        <v>1.58114147779326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24.289999024782254</v>
      </c>
      <c r="AC43" s="58">
        <f t="shared" si="26"/>
        <v>24.289999024782254</v>
      </c>
      <c r="AD43" s="91">
        <v>43</v>
      </c>
      <c r="AE43" s="57">
        <f t="shared" si="6"/>
        <v>1320</v>
      </c>
      <c r="AF43" s="58">
        <f t="shared" si="20"/>
        <v>13.77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25.52</v>
      </c>
      <c r="G44" s="187">
        <f t="shared" si="14"/>
        <v>13.77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54</v>
      </c>
      <c r="W44" s="52">
        <f t="shared" si="9"/>
        <v>1.58114147779326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24.289999024782254</v>
      </c>
      <c r="AC44" s="58">
        <f t="shared" si="26"/>
        <v>24.289999024782254</v>
      </c>
      <c r="AD44" s="86">
        <v>44</v>
      </c>
      <c r="AE44" s="57">
        <f t="shared" si="6"/>
        <v>1380</v>
      </c>
      <c r="AF44" s="58">
        <f t="shared" si="20"/>
        <v>13.77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45300.104166666664</v>
      </c>
      <c r="D45" s="186">
        <f t="shared" si="23"/>
        <v>960</v>
      </c>
      <c r="E45" s="176">
        <f t="shared" si="12"/>
        <v>0.66666666666666663</v>
      </c>
      <c r="F45" s="187">
        <f t="shared" si="13"/>
        <v>25.52</v>
      </c>
      <c r="G45" s="187">
        <f t="shared" si="14"/>
        <v>13.77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54</v>
      </c>
      <c r="W45" s="88">
        <f t="shared" si="9"/>
        <v>1.58114147779326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24.289999024782254</v>
      </c>
      <c r="AC45" s="58">
        <f t="shared" si="26"/>
        <v>24.289999024782254</v>
      </c>
      <c r="AD45" s="91">
        <v>45</v>
      </c>
      <c r="AE45" s="57">
        <f t="shared" si="6"/>
        <v>1440</v>
      </c>
      <c r="AF45" s="58">
        <f t="shared" si="20"/>
        <v>13.77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25.52</v>
      </c>
      <c r="G46" s="187">
        <f t="shared" si="14"/>
        <v>13.77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54</v>
      </c>
      <c r="W46" s="52">
        <f t="shared" si="9"/>
        <v>1.58114147779326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24.289999024782254</v>
      </c>
      <c r="AC46" s="58">
        <f t="shared" si="26"/>
        <v>24.289999024782254</v>
      </c>
      <c r="AD46" s="86">
        <v>46</v>
      </c>
      <c r="AE46" s="92">
        <f t="shared" si="6"/>
        <v>1500</v>
      </c>
      <c r="AF46" s="94">
        <f t="shared" si="20"/>
        <v>13.77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25.52</v>
      </c>
      <c r="G47" s="187">
        <f t="shared" si="14"/>
        <v>13.77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54</v>
      </c>
      <c r="W47" s="52">
        <f t="shared" si="9"/>
        <v>1.58114147779326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24.289999024782254</v>
      </c>
      <c r="AC47" s="58">
        <f t="shared" ref="AC47:AC69" si="27">AC46</f>
        <v>24.289999024782254</v>
      </c>
      <c r="AE47" s="57">
        <f t="shared" si="6"/>
        <v>1560</v>
      </c>
      <c r="AF47" s="58">
        <f t="shared" si="20"/>
        <v>13.77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25.52</v>
      </c>
      <c r="G48" s="187">
        <f t="shared" si="14"/>
        <v>13.77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54</v>
      </c>
      <c r="W48" s="52">
        <f t="shared" si="9"/>
        <v>1.58114147779326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24.289999024782254</v>
      </c>
      <c r="AC48" s="58">
        <f t="shared" si="27"/>
        <v>24.289999024782254</v>
      </c>
      <c r="AE48" s="57">
        <f t="shared" si="6"/>
        <v>1620</v>
      </c>
      <c r="AF48" s="58">
        <f t="shared" si="20"/>
        <v>13.77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25.52</v>
      </c>
      <c r="G49" s="187">
        <f t="shared" si="14"/>
        <v>13.77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54</v>
      </c>
      <c r="W49" s="52">
        <f t="shared" si="9"/>
        <v>1.58114147779326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24.289999024782254</v>
      </c>
      <c r="AC49" s="58">
        <f t="shared" si="27"/>
        <v>24.289999024782254</v>
      </c>
      <c r="AE49" s="57">
        <f t="shared" si="6"/>
        <v>1680</v>
      </c>
      <c r="AF49" s="58">
        <f t="shared" si="20"/>
        <v>13.77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25.52</v>
      </c>
      <c r="G50" s="187">
        <f t="shared" si="14"/>
        <v>13.77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54</v>
      </c>
      <c r="W50" s="52">
        <f t="shared" si="9"/>
        <v>1.58114147779326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24.289999024782254</v>
      </c>
      <c r="AC50" s="58">
        <f t="shared" si="27"/>
        <v>24.289999024782254</v>
      </c>
      <c r="AE50" s="57">
        <f t="shared" si="6"/>
        <v>1740</v>
      </c>
      <c r="AF50" s="58">
        <f t="shared" si="20"/>
        <v>13.77</v>
      </c>
    </row>
    <row r="51" spans="1:32" s="52" customFormat="1" ht="21" customHeight="1">
      <c r="A51" s="183"/>
      <c r="B51" s="183"/>
      <c r="C51" s="185">
        <f>$C$10+D51/1440</f>
        <v>45300.354166666664</v>
      </c>
      <c r="D51" s="186">
        <f t="shared" si="23"/>
        <v>1320</v>
      </c>
      <c r="E51" s="176">
        <f t="shared" si="12"/>
        <v>0.91666666666666663</v>
      </c>
      <c r="F51" s="187">
        <f t="shared" si="13"/>
        <v>25.52</v>
      </c>
      <c r="G51" s="187">
        <f t="shared" si="14"/>
        <v>13.77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54</v>
      </c>
      <c r="W51" s="52">
        <f t="shared" si="9"/>
        <v>1.58114147779326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24.289999024782254</v>
      </c>
      <c r="AC51" s="58">
        <f t="shared" si="27"/>
        <v>24.289999024782254</v>
      </c>
      <c r="AE51" s="57">
        <f t="shared" si="6"/>
        <v>1800</v>
      </c>
      <c r="AF51" s="58">
        <f t="shared" si="20"/>
        <v>13.77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25.52</v>
      </c>
      <c r="G52" s="187">
        <f t="shared" si="14"/>
        <v>13.77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54</v>
      </c>
      <c r="W52" s="52">
        <f t="shared" si="9"/>
        <v>1.58114147779326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24.289999024782254</v>
      </c>
      <c r="AC52" s="58">
        <f t="shared" si="27"/>
        <v>24.289999024782254</v>
      </c>
      <c r="AE52" s="57">
        <f t="shared" si="6"/>
        <v>1860</v>
      </c>
      <c r="AF52" s="58">
        <f t="shared" si="20"/>
        <v>13.77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25.52</v>
      </c>
      <c r="G53" s="187">
        <f t="shared" si="14"/>
        <v>13.77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54</v>
      </c>
      <c r="W53" s="52">
        <f t="shared" si="9"/>
        <v>1.58114147779326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24.289999024782254</v>
      </c>
      <c r="AC53" s="58">
        <f t="shared" si="27"/>
        <v>24.289999024782254</v>
      </c>
      <c r="AE53" s="57">
        <f t="shared" si="6"/>
        <v>1920</v>
      </c>
      <c r="AF53" s="58">
        <f t="shared" si="20"/>
        <v>13.77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25.52</v>
      </c>
      <c r="G54" s="187">
        <f t="shared" si="14"/>
        <v>13.77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54</v>
      </c>
      <c r="W54" s="52">
        <f t="shared" si="9"/>
        <v>1.58114147779326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24.289999024782254</v>
      </c>
      <c r="AC54" s="58">
        <f t="shared" si="27"/>
        <v>24.289999024782254</v>
      </c>
      <c r="AE54" s="57">
        <f t="shared" si="6"/>
        <v>1980</v>
      </c>
      <c r="AF54" s="58">
        <f t="shared" si="20"/>
        <v>13.77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25.52</v>
      </c>
      <c r="G55" s="187">
        <f t="shared" si="14"/>
        <v>13.77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54</v>
      </c>
      <c r="W55" s="52">
        <f t="shared" si="9"/>
        <v>1.58114147779326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24.289999024782254</v>
      </c>
      <c r="AC55" s="58">
        <f t="shared" si="27"/>
        <v>24.289999024782254</v>
      </c>
      <c r="AE55" s="57">
        <f t="shared" si="6"/>
        <v>2040</v>
      </c>
      <c r="AF55" s="58">
        <f t="shared" si="20"/>
        <v>13.77</v>
      </c>
    </row>
    <row r="56" spans="1:32" s="52" customFormat="1" ht="21.6" customHeight="1">
      <c r="A56" s="183"/>
      <c r="B56" s="183"/>
      <c r="C56" s="185">
        <f>$C$10+D56/1440</f>
        <v>45300.5625</v>
      </c>
      <c r="D56" s="186">
        <f t="shared" si="23"/>
        <v>1620</v>
      </c>
      <c r="E56" s="176">
        <f t="shared" si="12"/>
        <v>1.125</v>
      </c>
      <c r="F56" s="187">
        <f t="shared" si="13"/>
        <v>25.52</v>
      </c>
      <c r="G56" s="187">
        <f t="shared" si="14"/>
        <v>13.77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54</v>
      </c>
      <c r="W56" s="52">
        <f t="shared" si="9"/>
        <v>1.58114147779326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24.289999024782254</v>
      </c>
      <c r="AC56" s="58">
        <f t="shared" si="27"/>
        <v>24.289999024782254</v>
      </c>
      <c r="AE56" s="57">
        <f t="shared" si="6"/>
        <v>2100</v>
      </c>
      <c r="AF56" s="58">
        <f t="shared" si="20"/>
        <v>13.77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25.52</v>
      </c>
      <c r="G57" s="187">
        <f t="shared" si="14"/>
        <v>13.77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54</v>
      </c>
      <c r="W57" s="52">
        <f t="shared" si="9"/>
        <v>1.58114147779326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24.289999024782254</v>
      </c>
      <c r="AC57" s="58">
        <f t="shared" si="27"/>
        <v>24.289999024782254</v>
      </c>
      <c r="AE57" s="57">
        <f t="shared" si="6"/>
        <v>2160</v>
      </c>
      <c r="AF57" s="58">
        <f t="shared" si="20"/>
        <v>13.77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25.52</v>
      </c>
      <c r="G58" s="187">
        <f t="shared" si="14"/>
        <v>13.77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54</v>
      </c>
      <c r="W58" s="52">
        <f t="shared" si="9"/>
        <v>1.58114147779326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24.289999024782254</v>
      </c>
      <c r="AC58" s="58">
        <f t="shared" si="27"/>
        <v>24.289999024782254</v>
      </c>
      <c r="AE58" s="57">
        <f t="shared" si="6"/>
        <v>2220</v>
      </c>
      <c r="AF58" s="58">
        <f t="shared" si="20"/>
        <v>13.77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25.52</v>
      </c>
      <c r="G59" s="187">
        <f t="shared" si="14"/>
        <v>13.77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54</v>
      </c>
      <c r="W59" s="52">
        <f t="shared" si="9"/>
        <v>1.58114147779326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24.289999024782254</v>
      </c>
      <c r="AC59" s="58">
        <f t="shared" si="27"/>
        <v>24.289999024782254</v>
      </c>
      <c r="AE59" s="57">
        <f t="shared" si="6"/>
        <v>2280</v>
      </c>
      <c r="AF59" s="58">
        <f t="shared" si="20"/>
        <v>13.77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25.52</v>
      </c>
      <c r="G60" s="187">
        <f t="shared" si="14"/>
        <v>13.77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54</v>
      </c>
      <c r="W60" s="52">
        <f t="shared" si="9"/>
        <v>1.58114147779326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24.289999024782254</v>
      </c>
      <c r="AC60" s="58">
        <f t="shared" si="27"/>
        <v>24.289999024782254</v>
      </c>
      <c r="AE60" s="57">
        <f t="shared" si="6"/>
        <v>2340</v>
      </c>
      <c r="AF60" s="58">
        <f t="shared" si="20"/>
        <v>13.77</v>
      </c>
    </row>
    <row r="61" spans="1:32" s="52" customFormat="1" ht="21.6" customHeight="1">
      <c r="A61" s="183"/>
      <c r="B61" s="183"/>
      <c r="C61" s="185">
        <f>$C$10+D61/1440</f>
        <v>45300.770833333336</v>
      </c>
      <c r="D61" s="186">
        <f t="shared" si="23"/>
        <v>1920</v>
      </c>
      <c r="E61" s="176">
        <f t="shared" si="12"/>
        <v>1.3333333333333333</v>
      </c>
      <c r="F61" s="187">
        <f t="shared" si="13"/>
        <v>25.52</v>
      </c>
      <c r="G61" s="187">
        <f t="shared" si="14"/>
        <v>13.77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54</v>
      </c>
      <c r="W61" s="52">
        <f t="shared" si="9"/>
        <v>1.58114147779326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24.289999024782254</v>
      </c>
      <c r="AC61" s="58">
        <f t="shared" si="27"/>
        <v>24.289999024782254</v>
      </c>
      <c r="AE61" s="57">
        <f t="shared" si="6"/>
        <v>2400</v>
      </c>
      <c r="AF61" s="58">
        <f t="shared" si="20"/>
        <v>13.77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25.52</v>
      </c>
      <c r="G62" s="187">
        <f t="shared" si="14"/>
        <v>13.77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54</v>
      </c>
      <c r="W62" s="52">
        <f t="shared" si="9"/>
        <v>1.58114147779326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24.289999024782254</v>
      </c>
      <c r="AC62" s="58">
        <f t="shared" si="27"/>
        <v>24.289999024782254</v>
      </c>
      <c r="AE62" s="57">
        <f t="shared" si="6"/>
        <v>2460</v>
      </c>
      <c r="AF62" s="58">
        <f t="shared" si="20"/>
        <v>13.77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25.52</v>
      </c>
      <c r="G63" s="187">
        <f t="shared" si="14"/>
        <v>13.77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54</v>
      </c>
      <c r="W63" s="52">
        <f t="shared" si="9"/>
        <v>1.58114147779326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24.289999024782254</v>
      </c>
      <c r="AC63" s="58">
        <f t="shared" si="27"/>
        <v>24.289999024782254</v>
      </c>
      <c r="AE63" s="57">
        <f t="shared" si="6"/>
        <v>2520</v>
      </c>
      <c r="AF63" s="58">
        <f t="shared" si="20"/>
        <v>13.77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8">F63</f>
        <v>25.52</v>
      </c>
      <c r="G64" s="187">
        <f t="shared" si="14"/>
        <v>13.77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54</v>
      </c>
      <c r="W64" s="52">
        <f t="shared" si="9"/>
        <v>1.58114147779326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24.289999024782254</v>
      </c>
      <c r="AC64" s="58">
        <f t="shared" si="27"/>
        <v>24.289999024782254</v>
      </c>
      <c r="AE64" s="57">
        <f t="shared" si="6"/>
        <v>2580</v>
      </c>
      <c r="AF64" s="58">
        <f t="shared" si="20"/>
        <v>13.77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8"/>
        <v>25.52</v>
      </c>
      <c r="G65" s="187">
        <f t="shared" si="14"/>
        <v>13.77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54</v>
      </c>
      <c r="W65" s="52">
        <f t="shared" si="9"/>
        <v>1.58114147779326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24.289999024782254</v>
      </c>
      <c r="AC65" s="58">
        <f t="shared" si="27"/>
        <v>24.289999024782254</v>
      </c>
      <c r="AE65" s="57">
        <f t="shared" si="6"/>
        <v>2640</v>
      </c>
      <c r="AF65" s="58">
        <f t="shared" si="20"/>
        <v>13.77</v>
      </c>
    </row>
    <row r="66" spans="1:32" s="52" customFormat="1" ht="21.6" customHeight="1">
      <c r="A66" s="183"/>
      <c r="B66" s="183"/>
      <c r="C66" s="185">
        <f>$C$10+D66/1440</f>
        <v>45300.979166666664</v>
      </c>
      <c r="D66" s="186">
        <f t="shared" si="23"/>
        <v>2220</v>
      </c>
      <c r="E66" s="176">
        <f t="shared" si="12"/>
        <v>1.5416666666666667</v>
      </c>
      <c r="F66" s="187">
        <f t="shared" si="28"/>
        <v>25.52</v>
      </c>
      <c r="G66" s="187">
        <f t="shared" si="14"/>
        <v>13.77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54</v>
      </c>
      <c r="W66" s="52">
        <f t="shared" si="9"/>
        <v>1.58114147779326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24.289999024782254</v>
      </c>
      <c r="AC66" s="58">
        <f t="shared" si="27"/>
        <v>24.289999024782254</v>
      </c>
      <c r="AE66" s="57">
        <f t="shared" si="6"/>
        <v>2700</v>
      </c>
      <c r="AF66" s="58">
        <f t="shared" si="20"/>
        <v>13.77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8"/>
        <v>25.52</v>
      </c>
      <c r="G67" s="187">
        <f t="shared" si="14"/>
        <v>13.77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54</v>
      </c>
      <c r="W67" s="52">
        <f t="shared" si="9"/>
        <v>1.58114147779326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24.289999024782254</v>
      </c>
      <c r="AC67" s="58">
        <f t="shared" si="27"/>
        <v>24.289999024782254</v>
      </c>
      <c r="AE67" s="57">
        <f>AA67</f>
        <v>2760</v>
      </c>
      <c r="AF67" s="58">
        <f t="shared" si="20"/>
        <v>13.77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8"/>
        <v>25.52</v>
      </c>
      <c r="G68" s="187">
        <f t="shared" si="14"/>
        <v>13.77</v>
      </c>
      <c r="H68" s="189"/>
      <c r="I68" s="189"/>
      <c r="J68" s="189"/>
      <c r="K68" s="52" t="s">
        <v>21</v>
      </c>
      <c r="L68" s="76" t="s">
        <v>21</v>
      </c>
      <c r="V68" s="56">
        <f>V67</f>
        <v>54</v>
      </c>
      <c r="W68" s="52">
        <f t="shared" ref="W68:W83" si="31">W$2</f>
        <v>1.58114147779326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24.289999024782254</v>
      </c>
      <c r="AC68" s="58">
        <f t="shared" si="27"/>
        <v>24.289999024782254</v>
      </c>
      <c r="AE68" s="57">
        <f>AA68</f>
        <v>2820</v>
      </c>
      <c r="AF68" s="58">
        <f t="shared" si="20"/>
        <v>13.77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8"/>
        <v>25.52</v>
      </c>
      <c r="G69" s="187">
        <f t="shared" si="14"/>
        <v>13.77</v>
      </c>
      <c r="H69" s="189"/>
      <c r="I69" s="189"/>
      <c r="J69" s="189"/>
      <c r="K69" s="52" t="s">
        <v>21</v>
      </c>
      <c r="L69" s="76" t="s">
        <v>21</v>
      </c>
      <c r="V69" s="56">
        <f>V68</f>
        <v>54</v>
      </c>
      <c r="W69" s="52">
        <f t="shared" si="31"/>
        <v>1.58114147779326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24.289999024782254</v>
      </c>
      <c r="AC69" s="58">
        <f t="shared" si="27"/>
        <v>24.289999024782254</v>
      </c>
      <c r="AE69" s="57">
        <f>AA69</f>
        <v>2880</v>
      </c>
      <c r="AF69" s="58">
        <f t="shared" si="20"/>
        <v>13.77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8"/>
        <v>25.52</v>
      </c>
      <c r="G70" s="187">
        <f t="shared" si="14"/>
        <v>13.77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1.58114147779326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45301.1875</v>
      </c>
      <c r="D71" s="186">
        <f t="shared" si="23"/>
        <v>2520</v>
      </c>
      <c r="E71" s="176">
        <f t="shared" si="12"/>
        <v>1.75</v>
      </c>
      <c r="F71" s="187">
        <f t="shared" si="28"/>
        <v>25.52</v>
      </c>
      <c r="G71" s="187">
        <f t="shared" si="14"/>
        <v>13.77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1.58114147779326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8"/>
        <v>25.52</v>
      </c>
      <c r="G72" s="187">
        <f t="shared" si="14"/>
        <v>13.77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1.58114147779326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8"/>
        <v>25.52</v>
      </c>
      <c r="G73" s="187">
        <f t="shared" si="14"/>
        <v>13.77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1.58114147779326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8"/>
        <v>25.52</v>
      </c>
      <c r="G74" s="187">
        <f t="shared" si="14"/>
        <v>13.77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1.58114147779326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8"/>
        <v>25.52</v>
      </c>
      <c r="G75" s="187">
        <f>AF67</f>
        <v>13.77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1.58114147779326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8"/>
        <v>25.52</v>
      </c>
      <c r="G76" s="187">
        <f>AF68</f>
        <v>13.77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1.58114147779326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45301.4375</v>
      </c>
      <c r="D77" s="186">
        <f>D76+60</f>
        <v>2880</v>
      </c>
      <c r="E77" s="176">
        <f>D77/1440</f>
        <v>2</v>
      </c>
      <c r="F77" s="188">
        <f t="shared" si="28"/>
        <v>25.52</v>
      </c>
      <c r="G77" s="187">
        <f>AF69</f>
        <v>13.77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1.58114147779326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45301.438194444447</v>
      </c>
      <c r="D78" s="186">
        <v>1</v>
      </c>
      <c r="E78" s="176">
        <f t="shared" ref="E78:E101" si="34">D78/1440</f>
        <v>6.9444444444444447E-4</v>
      </c>
      <c r="F78" s="187">
        <f>G78+D$8</f>
        <v>21.288568186816178</v>
      </c>
      <c r="G78" s="187">
        <f>H114</f>
        <v>9.53856818681618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1.58114147779326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20.566884881324555</v>
      </c>
      <c r="G79" s="187">
        <f>H115</f>
        <v>8.8168848813245546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1.58114147779326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19.899803774320667</v>
      </c>
      <c r="G80" s="187">
        <f>H116</f>
        <v>8.1498037743206666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1.58114147779326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19.283193690735047</v>
      </c>
      <c r="G81" s="187">
        <f>H117</f>
        <v>7.5331936907350467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1.58114147779326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18.713236018140901</v>
      </c>
      <c r="G82" s="187">
        <f>H118</f>
        <v>6.9632360181408997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1.58114147779326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17.249295555852896</v>
      </c>
      <c r="G83" s="187">
        <f>H121</f>
        <v>5.4992955558528971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1.58114147779326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16.968292061261415</v>
      </c>
      <c r="G84" s="187">
        <f>H124</f>
        <v>5.2182920612614154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16.208536701048736</v>
      </c>
      <c r="G85" s="187">
        <f>H126</f>
        <v>4.458536701048736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15.871206040822827</v>
      </c>
      <c r="G86" s="187">
        <f t="shared" ref="G86:G92" si="36">H127</f>
        <v>4.1212060408228259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15.559397649888021</v>
      </c>
      <c r="G87" s="187">
        <f t="shared" si="36"/>
        <v>3.8093976498880213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15.460795063055894</v>
      </c>
      <c r="G88" s="187">
        <f t="shared" si="36"/>
        <v>3.7107950630558943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15.364744709154945</v>
      </c>
      <c r="G89" s="187">
        <f t="shared" si="36"/>
        <v>3.6147447091549436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15.271180526095478</v>
      </c>
      <c r="G90" s="187">
        <f t="shared" si="36"/>
        <v>3.5211805260954776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15.180038161741331</v>
      </c>
      <c r="G91" s="187">
        <f t="shared" si="36"/>
        <v>3.4300381617413316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15.091254929649363</v>
      </c>
      <c r="G92" s="187">
        <f t="shared" si="36"/>
        <v>3.3412549296493634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45301.479166666664</v>
      </c>
      <c r="D93" s="186">
        <v>60</v>
      </c>
      <c r="E93" s="176">
        <f t="shared" si="34"/>
        <v>4.1666666666666664E-2</v>
      </c>
      <c r="F93" s="187">
        <f t="shared" si="35"/>
        <v>15.004769765954597</v>
      </c>
      <c r="G93" s="187">
        <f>H134</f>
        <v>3.2547697659545975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14.920523187371353</v>
      </c>
      <c r="G94" s="187">
        <f>H135</f>
        <v>3.1705231873713529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14.83845725028147</v>
      </c>
      <c r="G95" s="187">
        <f>H136</f>
        <v>3.0884572502814702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14.758515510881505</v>
      </c>
      <c r="G96" s="187">
        <f>H137</f>
        <v>3.0085155108815043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45301.520833333336</v>
      </c>
      <c r="D97" s="186">
        <v>120</v>
      </c>
      <c r="E97" s="176">
        <f t="shared" si="34"/>
        <v>8.3333333333333329E-2</v>
      </c>
      <c r="F97" s="187">
        <f t="shared" si="35"/>
        <v>14.530892729768851</v>
      </c>
      <c r="G97" s="187">
        <f>H138</f>
        <v>2.7808927297688504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14.458912001564768</v>
      </c>
      <c r="G98" s="187">
        <f>H140</f>
        <v>2.7089120015647672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45301.604166666664</v>
      </c>
      <c r="D99" s="186">
        <v>240</v>
      </c>
      <c r="E99" s="176">
        <f t="shared" si="34"/>
        <v>0.16666666666666666</v>
      </c>
      <c r="F99" s="187">
        <f t="shared" si="35"/>
        <v>14.064508930718675</v>
      </c>
      <c r="G99" s="187">
        <f>H142</f>
        <v>2.314508930718675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13.727528833451265</v>
      </c>
      <c r="G100" s="187">
        <f>H144</f>
        <v>1.9775288334512644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45301.6875</v>
      </c>
      <c r="D101" s="186">
        <v>360</v>
      </c>
      <c r="E101" s="176">
        <f t="shared" si="34"/>
        <v>0.25</v>
      </c>
      <c r="F101" s="188">
        <f t="shared" si="35"/>
        <v>13.439611232529069</v>
      </c>
      <c r="G101" s="191">
        <f>H146</f>
        <v>1.6896112325290693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13.77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13.77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12.077783578887907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13.77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11.163984504906173</v>
      </c>
      <c r="I112" s="385"/>
      <c r="J112" s="387">
        <f>H111-H112</f>
        <v>0.91379907398173366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13.77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10.319323012514282</v>
      </c>
      <c r="I113" s="385"/>
      <c r="J113" s="387">
        <f t="shared" ref="J113:J146" si="42">H112-H113</f>
        <v>0.84466149239189114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13.77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9.53856818681618</v>
      </c>
      <c r="I114" s="390"/>
      <c r="J114" s="387">
        <f t="shared" si="42"/>
        <v>0.78075482569810184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13.77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8.8168848813245546</v>
      </c>
      <c r="I115" s="390"/>
      <c r="J115" s="387">
        <f t="shared" si="42"/>
        <v>0.7216833054916254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13.77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8.1498037743206666</v>
      </c>
      <c r="I116" s="390"/>
      <c r="J116" s="387">
        <f t="shared" si="42"/>
        <v>0.66708110700388801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13.77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7.5331936907350467</v>
      </c>
      <c r="I117" s="390"/>
      <c r="J117" s="387">
        <f t="shared" si="42"/>
        <v>0.61661008358561986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13.77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6.9632360181408997</v>
      </c>
      <c r="I118" s="390"/>
      <c r="J118" s="387">
        <f t="shared" si="42"/>
        <v>0.56995767259414709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13.77</v>
      </c>
      <c r="E119" s="382">
        <f t="shared" si="40"/>
        <v>0.71</v>
      </c>
      <c r="F119" s="383"/>
      <c r="G119" s="375">
        <v>9</v>
      </c>
      <c r="H119" s="391">
        <f t="shared" si="38"/>
        <v>6.4364010584206381</v>
      </c>
      <c r="I119" s="392"/>
      <c r="J119" s="387">
        <f t="shared" si="42"/>
        <v>0.52683495972026151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13.77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5.9494261686535372</v>
      </c>
      <c r="I120" s="385"/>
      <c r="J120" s="387">
        <f t="shared" si="42"/>
        <v>0.4869748897671009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13.77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5.4992955558528971</v>
      </c>
      <c r="I121" s="390"/>
      <c r="J121" s="387">
        <f t="shared" si="42"/>
        <v>0.45013061280064015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13.77</v>
      </c>
      <c r="E122" s="382">
        <f t="shared" si="40"/>
        <v>0.62</v>
      </c>
      <c r="F122" s="383"/>
      <c r="G122" s="375">
        <v>14</v>
      </c>
      <c r="H122" s="384">
        <f t="shared" si="38"/>
        <v>5.0832216004233217</v>
      </c>
      <c r="I122" s="385"/>
      <c r="J122" s="387">
        <f t="shared" si="42"/>
        <v>0.41607395542957537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13.77</v>
      </c>
      <c r="E123" s="382">
        <f t="shared" si="40"/>
        <v>0.37</v>
      </c>
      <c r="F123" s="383"/>
      <c r="G123" s="375">
        <v>15</v>
      </c>
      <c r="H123" s="384">
        <f t="shared" si="38"/>
        <v>2.6387944251382862</v>
      </c>
      <c r="I123" s="385"/>
      <c r="J123" s="387">
        <f t="shared" si="42"/>
        <v>2.4444271752850355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13.77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5.2182920612614154</v>
      </c>
      <c r="I124" s="390"/>
      <c r="J124" s="387">
        <f t="shared" si="42"/>
        <v>-2.5794976361231292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13.77</v>
      </c>
      <c r="E125" s="382">
        <f t="shared" si="40"/>
        <v>0.6</v>
      </c>
      <c r="F125" s="383"/>
      <c r="G125" s="375">
        <v>18</v>
      </c>
      <c r="H125" s="384">
        <f t="shared" si="38"/>
        <v>4.8234786899006075</v>
      </c>
      <c r="I125" s="385"/>
      <c r="J125" s="387">
        <f t="shared" si="42"/>
        <v>0.39481337136080796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13.77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4.458536701048736</v>
      </c>
      <c r="I126" s="390"/>
      <c r="J126" s="387">
        <f t="shared" si="42"/>
        <v>0.36494198885187146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13.77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4.1212060408228259</v>
      </c>
      <c r="I127" s="390"/>
      <c r="J127" s="387">
        <f t="shared" si="42"/>
        <v>0.33733066022591007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13.77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3.8093976498880213</v>
      </c>
      <c r="I128" s="390"/>
      <c r="J128" s="387">
        <f t="shared" si="42"/>
        <v>0.31180839093480461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13.77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3.7107950630558943</v>
      </c>
      <c r="I129" s="390"/>
      <c r="J129" s="387">
        <f t="shared" si="42"/>
        <v>9.8602586832126971E-2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13.77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3.6147447091549436</v>
      </c>
      <c r="I130" s="390"/>
      <c r="J130" s="387">
        <f t="shared" si="42"/>
        <v>9.6050353900950736E-2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13.77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3.5211805260954776</v>
      </c>
      <c r="I131" s="390"/>
      <c r="J131" s="387">
        <f t="shared" si="42"/>
        <v>9.3564183059466011E-2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13.77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3.4300381617413316</v>
      </c>
      <c r="I132" s="390"/>
      <c r="J132" s="387">
        <f t="shared" si="42"/>
        <v>9.1142364354146022E-2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13.77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3.3412549296493634</v>
      </c>
      <c r="I133" s="390"/>
      <c r="J133" s="387">
        <f t="shared" si="42"/>
        <v>8.8783232091968145E-2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13.77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3.2547697659545975</v>
      </c>
      <c r="I134" s="390"/>
      <c r="J134" s="387">
        <f t="shared" si="42"/>
        <v>8.6485163694765887E-2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13.77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3.1705231873713529</v>
      </c>
      <c r="I135" s="390"/>
      <c r="J135" s="387">
        <f t="shared" si="42"/>
        <v>8.4246578583244691E-2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13.77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3.0884572502814702</v>
      </c>
      <c r="I136" s="390"/>
      <c r="J136" s="387">
        <f t="shared" si="42"/>
        <v>8.2065937089882635E-2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13.77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3.0085155108815043</v>
      </c>
      <c r="I137" s="390"/>
      <c r="J137" s="387">
        <f t="shared" si="42"/>
        <v>7.9941739399965961E-2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13.77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2.7808927297688504</v>
      </c>
      <c r="I138" s="390"/>
      <c r="J138" s="387">
        <f t="shared" si="42"/>
        <v>0.22762278111265388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13.77</v>
      </c>
      <c r="E139" s="382">
        <f t="shared" si="40"/>
        <v>0.36</v>
      </c>
      <c r="F139" s="383"/>
      <c r="G139" s="375">
        <v>150</v>
      </c>
      <c r="H139" s="384">
        <f t="shared" si="38"/>
        <v>2.5704917746012708</v>
      </c>
      <c r="I139" s="385"/>
      <c r="J139" s="387">
        <f t="shared" si="42"/>
        <v>0.21040095516757962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13.77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2.7089120015647672</v>
      </c>
      <c r="I140" s="390"/>
      <c r="J140" s="387">
        <f t="shared" si="42"/>
        <v>-0.13842022696349643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13.77</v>
      </c>
      <c r="E141" s="382">
        <f t="shared" si="40"/>
        <v>0.35</v>
      </c>
      <c r="F141" s="383"/>
      <c r="G141" s="375">
        <v>210</v>
      </c>
      <c r="H141" s="384">
        <f t="shared" si="38"/>
        <v>2.5039570723462203</v>
      </c>
      <c r="I141" s="385"/>
      <c r="J141" s="387">
        <f t="shared" si="42"/>
        <v>0.20495492921854686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13.77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2.314508930718675</v>
      </c>
      <c r="I142" s="390"/>
      <c r="J142" s="387">
        <f t="shared" si="42"/>
        <v>0.18944814162754531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13.77</v>
      </c>
      <c r="E143" s="382">
        <f>C143/100</f>
        <v>0.28999999999999998</v>
      </c>
      <c r="F143" s="383"/>
      <c r="G143" s="375">
        <v>270</v>
      </c>
      <c r="H143" s="384">
        <f t="shared" si="38"/>
        <v>2.1393943408770237</v>
      </c>
      <c r="I143" s="385"/>
      <c r="J143" s="387">
        <f t="shared" si="42"/>
        <v>0.17511458984165129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13.77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1.9775288334512644</v>
      </c>
      <c r="I144" s="390"/>
      <c r="J144" s="387">
        <f t="shared" si="42"/>
        <v>0.16186550742575934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13.77</v>
      </c>
      <c r="E145" s="382">
        <f>C145/100</f>
        <v>0.23</v>
      </c>
      <c r="F145" s="383"/>
      <c r="G145" s="375">
        <v>330</v>
      </c>
      <c r="H145" s="384">
        <f t="shared" si="38"/>
        <v>1.8279099894823496</v>
      </c>
      <c r="I145" s="385"/>
      <c r="J145" s="387">
        <f t="shared" si="42"/>
        <v>0.14961884396891478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13.77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1.6896112325290693</v>
      </c>
      <c r="I146" s="390"/>
      <c r="J146" s="387">
        <f t="shared" si="42"/>
        <v>0.13829875695328031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34</v>
      </c>
      <c r="C24" s="157"/>
    </row>
    <row r="25" spans="1:3">
      <c r="A25" s="158">
        <f>StepTest!D31</f>
        <v>120</v>
      </c>
      <c r="B25" s="158">
        <f>Input!D4</f>
        <v>43</v>
      </c>
      <c r="C25" s="157"/>
    </row>
    <row r="26" spans="1:3">
      <c r="A26" s="158">
        <f>StepTest!D36</f>
        <v>240</v>
      </c>
      <c r="B26" s="158">
        <f>Input!D5</f>
        <v>52.699999999999996</v>
      </c>
      <c r="C26" s="157"/>
    </row>
    <row r="27" spans="1:3">
      <c r="A27" s="158">
        <f>StepTest!D41</f>
        <v>360</v>
      </c>
      <c r="B27" s="158">
        <f>Input!D6</f>
        <v>62</v>
      </c>
      <c r="C27" s="157"/>
    </row>
    <row r="28" spans="1:3">
      <c r="A28" s="158">
        <f>StepTest!D46</f>
        <v>480</v>
      </c>
      <c r="B28" s="158">
        <f>Input!D7</f>
        <v>71.3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W-3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1.69</v>
      </c>
      <c r="C36" s="158">
        <v>1</v>
      </c>
    </row>
    <row r="37" spans="1:3">
      <c r="A37" s="156">
        <f>Sheet1!A3</f>
        <v>3</v>
      </c>
      <c r="B37" s="157">
        <f>Sheet1!B3</f>
        <v>2.09</v>
      </c>
      <c r="C37" s="158">
        <v>1</v>
      </c>
    </row>
    <row r="38" spans="1:3">
      <c r="A38" s="156">
        <f>Sheet1!A4</f>
        <v>4</v>
      </c>
      <c r="B38" s="157">
        <f>Sheet1!B4</f>
        <v>2.38</v>
      </c>
      <c r="C38" s="158">
        <v>1</v>
      </c>
    </row>
    <row r="39" spans="1:3">
      <c r="A39" s="156">
        <f>Sheet1!A5</f>
        <v>5</v>
      </c>
      <c r="B39" s="157">
        <f>Sheet1!B5</f>
        <v>2.6</v>
      </c>
      <c r="C39" s="158">
        <v>1</v>
      </c>
    </row>
    <row r="40" spans="1:3">
      <c r="A40" s="156">
        <f>Sheet1!A6</f>
        <v>10</v>
      </c>
      <c r="B40" s="157">
        <f>Sheet1!B6</f>
        <v>3.29</v>
      </c>
      <c r="C40" s="158">
        <v>1</v>
      </c>
    </row>
    <row r="41" spans="1:3">
      <c r="A41" s="156">
        <f>Sheet1!A7</f>
        <v>15</v>
      </c>
      <c r="B41" s="157">
        <f>Sheet1!B7</f>
        <v>3.69</v>
      </c>
      <c r="C41" s="158">
        <v>1</v>
      </c>
    </row>
    <row r="42" spans="1:3">
      <c r="A42" s="156">
        <f>Sheet1!A8</f>
        <v>20</v>
      </c>
      <c r="B42" s="157">
        <f>Sheet1!B8</f>
        <v>3.98</v>
      </c>
      <c r="C42" s="158">
        <v>1</v>
      </c>
    </row>
    <row r="43" spans="1:3">
      <c r="A43" s="156">
        <f>Sheet1!A9</f>
        <v>25</v>
      </c>
      <c r="B43" s="157">
        <f>Sheet1!B9</f>
        <v>4.2</v>
      </c>
      <c r="C43" s="158">
        <v>1</v>
      </c>
    </row>
    <row r="44" spans="1:3">
      <c r="A44" s="156">
        <f>Sheet1!A10</f>
        <v>30</v>
      </c>
      <c r="B44" s="157">
        <f>Sheet1!B10</f>
        <v>4.38</v>
      </c>
      <c r="C44" s="158">
        <v>1</v>
      </c>
    </row>
    <row r="45" spans="1:3">
      <c r="A45" s="156">
        <f>Sheet1!A11</f>
        <v>35</v>
      </c>
      <c r="B45" s="157">
        <f>Sheet1!B11</f>
        <v>4.53</v>
      </c>
      <c r="C45" s="158">
        <v>1</v>
      </c>
    </row>
    <row r="46" spans="1:3">
      <c r="A46" s="156">
        <f>Sheet1!A12</f>
        <v>40</v>
      </c>
      <c r="B46" s="157">
        <f>Sheet1!B12</f>
        <v>4.66</v>
      </c>
      <c r="C46" s="158">
        <v>1</v>
      </c>
    </row>
    <row r="47" spans="1:3">
      <c r="A47" s="156">
        <f>Sheet1!A13</f>
        <v>45</v>
      </c>
      <c r="B47" s="157">
        <f>Sheet1!B13</f>
        <v>4.78</v>
      </c>
      <c r="C47" s="158">
        <v>1</v>
      </c>
    </row>
    <row r="48" spans="1:3">
      <c r="A48" s="156">
        <f>Sheet1!A14</f>
        <v>50</v>
      </c>
      <c r="B48" s="157">
        <f>Sheet1!B14</f>
        <v>4.8899999999999997</v>
      </c>
      <c r="C48" s="158">
        <v>1</v>
      </c>
    </row>
    <row r="49" spans="1:3">
      <c r="A49" s="156">
        <f>Sheet1!A15</f>
        <v>55</v>
      </c>
      <c r="B49" s="157">
        <f>Sheet1!B15</f>
        <v>4.9800000000000004</v>
      </c>
      <c r="C49" s="158">
        <v>1</v>
      </c>
    </row>
    <row r="50" spans="1:3">
      <c r="A50" s="156">
        <f>Sheet1!A16</f>
        <v>60</v>
      </c>
      <c r="B50" s="157">
        <f>Sheet1!B16</f>
        <v>5.07</v>
      </c>
      <c r="C50" s="158">
        <v>1</v>
      </c>
    </row>
    <row r="51" spans="1:3">
      <c r="A51" s="156">
        <f>Sheet1!A17</f>
        <v>75</v>
      </c>
      <c r="B51" s="157">
        <f>Sheet1!B17</f>
        <v>5.29</v>
      </c>
      <c r="C51" s="158">
        <v>1</v>
      </c>
    </row>
    <row r="52" spans="1:3">
      <c r="A52" s="156">
        <f>Sheet1!A18</f>
        <v>90</v>
      </c>
      <c r="B52" s="157">
        <f>Sheet1!B18</f>
        <v>5.47</v>
      </c>
      <c r="C52" s="158">
        <v>1</v>
      </c>
    </row>
    <row r="53" spans="1:3">
      <c r="A53" s="156">
        <f>Sheet1!A19</f>
        <v>105</v>
      </c>
      <c r="B53" s="157">
        <f>Sheet1!B19</f>
        <v>5.62</v>
      </c>
      <c r="C53" s="158">
        <v>1</v>
      </c>
    </row>
    <row r="54" spans="1:3">
      <c r="A54" s="156">
        <f>Sheet1!A20</f>
        <v>120</v>
      </c>
      <c r="B54" s="157">
        <f>Sheet1!B20</f>
        <v>5.76</v>
      </c>
      <c r="C54" s="158">
        <v>1</v>
      </c>
    </row>
    <row r="55" spans="1:3">
      <c r="A55" s="156">
        <f>Sheet1!A21</f>
        <v>121</v>
      </c>
      <c r="B55" s="157">
        <f>Sheet1!B21</f>
        <v>5.92</v>
      </c>
      <c r="C55" s="158">
        <v>1</v>
      </c>
    </row>
    <row r="56" spans="1:3">
      <c r="A56" s="156">
        <f>Sheet1!A22</f>
        <v>122</v>
      </c>
      <c r="B56" s="157">
        <f>Sheet1!B22</f>
        <v>6.07</v>
      </c>
      <c r="C56" s="158">
        <v>1</v>
      </c>
    </row>
    <row r="57" spans="1:3">
      <c r="A57" s="156">
        <f>Sheet1!A23</f>
        <v>123</v>
      </c>
      <c r="B57" s="157">
        <f>Sheet1!B23</f>
        <v>6.21</v>
      </c>
      <c r="C57" s="158">
        <v>1</v>
      </c>
    </row>
    <row r="58" spans="1:3">
      <c r="A58" s="156">
        <f>Sheet1!A24</f>
        <v>124</v>
      </c>
      <c r="B58" s="157">
        <f>Sheet1!B24</f>
        <v>6.34</v>
      </c>
      <c r="C58" s="158">
        <v>1</v>
      </c>
    </row>
    <row r="59" spans="1:3">
      <c r="A59" s="156">
        <f>Sheet1!A25</f>
        <v>125</v>
      </c>
      <c r="B59" s="157">
        <f>Sheet1!B25</f>
        <v>6.47</v>
      </c>
      <c r="C59" s="158">
        <v>1</v>
      </c>
    </row>
    <row r="60" spans="1:3">
      <c r="A60" s="156">
        <f>Sheet1!A26</f>
        <v>130</v>
      </c>
      <c r="B60" s="157">
        <f>Sheet1!B26</f>
        <v>6.91</v>
      </c>
      <c r="C60" s="158">
        <v>1</v>
      </c>
    </row>
    <row r="61" spans="1:3">
      <c r="A61" s="156">
        <f>Sheet1!A27</f>
        <v>135</v>
      </c>
      <c r="B61" s="157">
        <f>Sheet1!B27</f>
        <v>7.0200000000000005</v>
      </c>
      <c r="C61" s="158">
        <v>1</v>
      </c>
    </row>
    <row r="62" spans="1:3">
      <c r="A62" s="156">
        <f>Sheet1!A28</f>
        <v>140</v>
      </c>
      <c r="B62" s="157">
        <f>Sheet1!B28</f>
        <v>7.1</v>
      </c>
      <c r="C62" s="158">
        <v>1</v>
      </c>
    </row>
    <row r="63" spans="1:3">
      <c r="A63" s="156">
        <f>Sheet1!A29</f>
        <v>145</v>
      </c>
      <c r="B63" s="157">
        <f>Sheet1!B29</f>
        <v>7.1999999999999993</v>
      </c>
      <c r="C63" s="158">
        <v>1</v>
      </c>
    </row>
    <row r="64" spans="1:3">
      <c r="A64" s="156">
        <f>Sheet1!A30</f>
        <v>150</v>
      </c>
      <c r="B64" s="157">
        <f>Sheet1!B30</f>
        <v>7.29</v>
      </c>
      <c r="C64" s="158">
        <v>1</v>
      </c>
    </row>
    <row r="65" spans="1:3">
      <c r="A65" s="156">
        <f>Sheet1!A31</f>
        <v>155</v>
      </c>
      <c r="B65" s="157">
        <f>Sheet1!B31</f>
        <v>7.35</v>
      </c>
      <c r="C65" s="158">
        <v>1</v>
      </c>
    </row>
    <row r="66" spans="1:3">
      <c r="A66" s="156">
        <f>Sheet1!A32</f>
        <v>160</v>
      </c>
      <c r="B66" s="157">
        <f>Sheet1!B32</f>
        <v>7.3999999999999995</v>
      </c>
      <c r="C66" s="158">
        <v>1</v>
      </c>
    </row>
    <row r="67" spans="1:3">
      <c r="A67" s="156">
        <f>Sheet1!A33</f>
        <v>165</v>
      </c>
      <c r="B67" s="157">
        <f>Sheet1!B33</f>
        <v>7.4399999999999995</v>
      </c>
      <c r="C67" s="158">
        <v>1</v>
      </c>
    </row>
    <row r="68" spans="1:3">
      <c r="A68" s="156">
        <f>Sheet1!A34</f>
        <v>170</v>
      </c>
      <c r="B68" s="157">
        <f>Sheet1!B34</f>
        <v>7.47</v>
      </c>
      <c r="C68" s="158">
        <v>1</v>
      </c>
    </row>
    <row r="69" spans="1:3">
      <c r="A69" s="156">
        <f>Sheet1!A35</f>
        <v>175</v>
      </c>
      <c r="B69" s="157">
        <f>Sheet1!B35</f>
        <v>7.4899999999999993</v>
      </c>
      <c r="C69" s="158">
        <v>1</v>
      </c>
    </row>
    <row r="70" spans="1:3">
      <c r="A70" s="156">
        <f>Sheet1!A36</f>
        <v>180</v>
      </c>
      <c r="B70" s="157">
        <f>Sheet1!B36</f>
        <v>7.48</v>
      </c>
      <c r="C70" s="158">
        <v>1</v>
      </c>
    </row>
    <row r="71" spans="1:3">
      <c r="A71" s="156">
        <f>Sheet1!A37</f>
        <v>195</v>
      </c>
      <c r="B71" s="157">
        <f>Sheet1!B37</f>
        <v>7.5500000000000007</v>
      </c>
      <c r="C71" s="158">
        <v>1</v>
      </c>
    </row>
    <row r="72" spans="1:3">
      <c r="A72" s="156">
        <f>Sheet1!A38</f>
        <v>210</v>
      </c>
      <c r="B72" s="157">
        <f>Sheet1!B38</f>
        <v>7.61</v>
      </c>
      <c r="C72" s="158">
        <v>1</v>
      </c>
    </row>
    <row r="73" spans="1:3">
      <c r="A73" s="156">
        <f>Sheet1!A39</f>
        <v>225</v>
      </c>
      <c r="B73" s="157">
        <f>Sheet1!B39</f>
        <v>7.66</v>
      </c>
      <c r="C73" s="158">
        <v>1</v>
      </c>
    </row>
    <row r="74" spans="1:3">
      <c r="A74" s="156">
        <f>Sheet1!A40</f>
        <v>240</v>
      </c>
      <c r="B74" s="157">
        <f>Sheet1!B40</f>
        <v>7.68</v>
      </c>
      <c r="C74" s="158">
        <v>1</v>
      </c>
    </row>
    <row r="75" spans="1:3">
      <c r="A75" s="156">
        <f>Sheet1!A41</f>
        <v>241</v>
      </c>
      <c r="B75" s="157">
        <f>Sheet1!B41</f>
        <v>7.8599999999999994</v>
      </c>
      <c r="C75" s="158">
        <v>1</v>
      </c>
    </row>
    <row r="76" spans="1:3">
      <c r="A76" s="156">
        <f>Sheet1!A42</f>
        <v>242</v>
      </c>
      <c r="B76" s="157">
        <f>Sheet1!B42</f>
        <v>8.02</v>
      </c>
      <c r="C76" s="158">
        <v>1</v>
      </c>
    </row>
    <row r="77" spans="1:3">
      <c r="A77" s="156">
        <f>Sheet1!A43</f>
        <v>243</v>
      </c>
      <c r="B77" s="157">
        <f>Sheet1!B43</f>
        <v>8.17</v>
      </c>
      <c r="C77" s="158">
        <v>1</v>
      </c>
    </row>
    <row r="78" spans="1:3">
      <c r="A78" s="156">
        <f>Sheet1!A44</f>
        <v>244</v>
      </c>
      <c r="B78" s="157">
        <f>Sheet1!B44</f>
        <v>8.31</v>
      </c>
      <c r="C78" s="158">
        <v>1</v>
      </c>
    </row>
    <row r="79" spans="1:3">
      <c r="A79" s="156">
        <f>Sheet1!A45</f>
        <v>245</v>
      </c>
      <c r="B79" s="157">
        <f>Sheet1!B45</f>
        <v>8.4400000000000013</v>
      </c>
      <c r="C79" s="158">
        <v>1</v>
      </c>
    </row>
    <row r="80" spans="1:3">
      <c r="A80" s="156">
        <f>Sheet1!A46</f>
        <v>250</v>
      </c>
      <c r="B80" s="157">
        <f>Sheet1!B46</f>
        <v>8.9700000000000006</v>
      </c>
      <c r="C80" s="158">
        <v>1</v>
      </c>
    </row>
    <row r="81" spans="1:3">
      <c r="A81" s="156">
        <f>Sheet1!A47</f>
        <v>255</v>
      </c>
      <c r="B81" s="157">
        <f>Sheet1!B47</f>
        <v>9.08</v>
      </c>
      <c r="C81" s="158">
        <v>1</v>
      </c>
    </row>
    <row r="82" spans="1:3">
      <c r="A82" s="156">
        <f>Sheet1!A48</f>
        <v>260</v>
      </c>
      <c r="B82" s="157">
        <f>Sheet1!B48</f>
        <v>9.19</v>
      </c>
      <c r="C82" s="158">
        <v>1</v>
      </c>
    </row>
    <row r="83" spans="1:3">
      <c r="A83" s="156">
        <f>Sheet1!A49</f>
        <v>265</v>
      </c>
      <c r="B83" s="157">
        <f>Sheet1!B49</f>
        <v>9.2999999999999989</v>
      </c>
      <c r="C83" s="158">
        <v>1</v>
      </c>
    </row>
    <row r="84" spans="1:3">
      <c r="A84" s="156">
        <f>Sheet1!A50</f>
        <v>270</v>
      </c>
      <c r="B84" s="157">
        <f>Sheet1!B50</f>
        <v>9.4</v>
      </c>
      <c r="C84" s="158">
        <v>1</v>
      </c>
    </row>
    <row r="85" spans="1:3">
      <c r="A85" s="156">
        <f>Sheet1!A51</f>
        <v>275</v>
      </c>
      <c r="B85" s="157">
        <f>Sheet1!B51</f>
        <v>9.4700000000000006</v>
      </c>
      <c r="C85" s="158">
        <v>1</v>
      </c>
    </row>
    <row r="86" spans="1:3">
      <c r="A86" s="156">
        <f>Sheet1!A52</f>
        <v>280</v>
      </c>
      <c r="B86" s="157">
        <f>Sheet1!B52</f>
        <v>9.5200000000000014</v>
      </c>
      <c r="C86" s="158">
        <v>1</v>
      </c>
    </row>
    <row r="87" spans="1:3">
      <c r="A87" s="156">
        <f>Sheet1!A53</f>
        <v>285</v>
      </c>
      <c r="B87" s="157">
        <f>Sheet1!B53</f>
        <v>9.56</v>
      </c>
      <c r="C87" s="158">
        <v>1</v>
      </c>
    </row>
    <row r="88" spans="1:3">
      <c r="A88" s="156">
        <f>Sheet1!A54</f>
        <v>290</v>
      </c>
      <c r="B88" s="157">
        <f>Sheet1!B54</f>
        <v>9.59</v>
      </c>
      <c r="C88" s="158">
        <v>1</v>
      </c>
    </row>
    <row r="89" spans="1:3">
      <c r="A89" s="156">
        <f>Sheet1!A55</f>
        <v>295</v>
      </c>
      <c r="B89" s="157">
        <f>Sheet1!B55</f>
        <v>9.61</v>
      </c>
      <c r="C89" s="158">
        <v>1</v>
      </c>
    </row>
    <row r="90" spans="1:3">
      <c r="A90" s="156">
        <f>Sheet1!A56</f>
        <v>300</v>
      </c>
      <c r="B90" s="157">
        <f>Sheet1!B56</f>
        <v>9.6199999999999992</v>
      </c>
      <c r="C90" s="158">
        <v>1</v>
      </c>
    </row>
    <row r="91" spans="1:3">
      <c r="A91" s="156">
        <f>Sheet1!A57</f>
        <v>315</v>
      </c>
      <c r="B91" s="157">
        <f>Sheet1!B57</f>
        <v>9.6999999999999993</v>
      </c>
      <c r="C91" s="158">
        <v>1</v>
      </c>
    </row>
    <row r="92" spans="1:3">
      <c r="A92" s="156">
        <f>Sheet1!A58</f>
        <v>330</v>
      </c>
      <c r="B92" s="157">
        <f>Sheet1!B58</f>
        <v>9.76</v>
      </c>
      <c r="C92" s="158">
        <v>1</v>
      </c>
    </row>
    <row r="93" spans="1:3">
      <c r="A93" s="156">
        <f>Sheet1!A59</f>
        <v>345</v>
      </c>
      <c r="B93" s="157">
        <f>Sheet1!B59</f>
        <v>9.81</v>
      </c>
      <c r="C93" s="158">
        <v>1</v>
      </c>
    </row>
    <row r="94" spans="1:3">
      <c r="A94" s="156">
        <f>Sheet1!A60</f>
        <v>360</v>
      </c>
      <c r="B94" s="157">
        <f>Sheet1!B60</f>
        <v>9.84</v>
      </c>
      <c r="C94" s="158">
        <v>1</v>
      </c>
    </row>
    <row r="95" spans="1:3">
      <c r="A95" s="156">
        <f>Sheet1!A61</f>
        <v>361</v>
      </c>
      <c r="B95" s="157">
        <f>Sheet1!B61</f>
        <v>10.029999999999999</v>
      </c>
      <c r="C95" s="158">
        <v>1</v>
      </c>
    </row>
    <row r="96" spans="1:3">
      <c r="A96" s="156">
        <f>Sheet1!A62</f>
        <v>362</v>
      </c>
      <c r="B96" s="157">
        <f>Sheet1!B62</f>
        <v>10.199999999999999</v>
      </c>
      <c r="C96" s="158">
        <v>1</v>
      </c>
    </row>
    <row r="97" spans="1:3">
      <c r="A97" s="156">
        <f>Sheet1!A63</f>
        <v>363</v>
      </c>
      <c r="B97" s="157">
        <f>Sheet1!B63</f>
        <v>10.36</v>
      </c>
      <c r="C97" s="158">
        <v>1</v>
      </c>
    </row>
    <row r="98" spans="1:3">
      <c r="A98" s="156">
        <f>Sheet1!A64</f>
        <v>364</v>
      </c>
      <c r="B98" s="157">
        <f>Sheet1!B64</f>
        <v>10.51</v>
      </c>
      <c r="C98" s="158">
        <v>1</v>
      </c>
    </row>
    <row r="99" spans="1:3">
      <c r="A99" s="156">
        <f>Sheet1!A65</f>
        <v>365</v>
      </c>
      <c r="B99" s="157">
        <f>Sheet1!B65</f>
        <v>10.65</v>
      </c>
      <c r="C99" s="158">
        <v>1</v>
      </c>
    </row>
    <row r="100" spans="1:3">
      <c r="A100" s="156">
        <f>Sheet1!A66</f>
        <v>370</v>
      </c>
      <c r="B100" s="157">
        <f>Sheet1!B66</f>
        <v>11.28</v>
      </c>
      <c r="C100" s="158">
        <v>1</v>
      </c>
    </row>
    <row r="101" spans="1:3">
      <c r="A101" s="156">
        <f>Sheet1!A67</f>
        <v>375</v>
      </c>
      <c r="B101" s="157">
        <f>Sheet1!B67</f>
        <v>11.399999999999999</v>
      </c>
      <c r="C101" s="158">
        <v>1</v>
      </c>
    </row>
    <row r="102" spans="1:3">
      <c r="A102" s="156">
        <f>Sheet1!A68</f>
        <v>380</v>
      </c>
      <c r="B102" s="157">
        <f>Sheet1!B68</f>
        <v>11.52</v>
      </c>
      <c r="C102" s="158">
        <v>1</v>
      </c>
    </row>
    <row r="103" spans="1:3">
      <c r="A103" s="156">
        <f>Sheet1!A69</f>
        <v>385</v>
      </c>
      <c r="B103" s="157">
        <f>Sheet1!B69</f>
        <v>11.639999999999999</v>
      </c>
      <c r="C103" s="158">
        <v>1</v>
      </c>
    </row>
    <row r="104" spans="1:3">
      <c r="A104" s="156">
        <f>Sheet1!A70</f>
        <v>390</v>
      </c>
      <c r="B104" s="157">
        <f>Sheet1!B70</f>
        <v>11.76</v>
      </c>
      <c r="C104" s="158">
        <v>1</v>
      </c>
    </row>
    <row r="105" spans="1:3">
      <c r="A105" s="156">
        <f>Sheet1!A71</f>
        <v>395</v>
      </c>
      <c r="B105" s="157">
        <f>Sheet1!B71</f>
        <v>11.83</v>
      </c>
      <c r="C105" s="158">
        <v>1</v>
      </c>
    </row>
    <row r="106" spans="1:3">
      <c r="A106" s="156">
        <f>Sheet1!A72</f>
        <v>400</v>
      </c>
      <c r="B106" s="157">
        <f>Sheet1!B72</f>
        <v>11.88</v>
      </c>
      <c r="C106" s="158">
        <v>1</v>
      </c>
    </row>
    <row r="107" spans="1:3">
      <c r="A107" s="156">
        <f>Sheet1!A73</f>
        <v>405</v>
      </c>
      <c r="B107" s="157">
        <f>Sheet1!B73</f>
        <v>11.92</v>
      </c>
      <c r="C107" s="158">
        <v>1</v>
      </c>
    </row>
    <row r="108" spans="1:3">
      <c r="A108" s="156">
        <f>Sheet1!A74</f>
        <v>410</v>
      </c>
      <c r="B108" s="157">
        <f>Sheet1!B74</f>
        <v>11.95</v>
      </c>
      <c r="C108" s="158">
        <v>1</v>
      </c>
    </row>
    <row r="109" spans="1:3">
      <c r="A109" s="156">
        <f>Sheet1!A75</f>
        <v>415</v>
      </c>
      <c r="B109" s="157">
        <f>Sheet1!B75</f>
        <v>11.979999999999999</v>
      </c>
      <c r="C109" s="158">
        <v>1</v>
      </c>
    </row>
    <row r="110" spans="1:3">
      <c r="A110" s="156">
        <f>Sheet1!A76</f>
        <v>420</v>
      </c>
      <c r="B110" s="157">
        <f>Sheet1!B76</f>
        <v>12</v>
      </c>
      <c r="C110" s="158">
        <v>1</v>
      </c>
    </row>
    <row r="111" spans="1:3">
      <c r="A111" s="156">
        <f>Sheet1!A77</f>
        <v>435</v>
      </c>
      <c r="B111" s="157">
        <f>Sheet1!B77</f>
        <v>12.09</v>
      </c>
      <c r="C111" s="158">
        <v>1</v>
      </c>
    </row>
    <row r="112" spans="1:3">
      <c r="A112" s="156">
        <f>Sheet1!A78</f>
        <v>450</v>
      </c>
      <c r="B112" s="157">
        <f>Sheet1!B78</f>
        <v>12.16</v>
      </c>
      <c r="C112" s="158">
        <v>1</v>
      </c>
    </row>
    <row r="113" spans="1:3">
      <c r="A113" s="156">
        <f>Sheet1!A79</f>
        <v>465</v>
      </c>
      <c r="B113" s="157">
        <f>Sheet1!B79</f>
        <v>12.21</v>
      </c>
      <c r="C113" s="158">
        <v>1</v>
      </c>
    </row>
    <row r="114" spans="1:3">
      <c r="A114" s="156">
        <f>Sheet1!A80</f>
        <v>480</v>
      </c>
      <c r="B114" s="157">
        <f>Sheet1!B80</f>
        <v>12.25</v>
      </c>
      <c r="C114" s="158">
        <v>1</v>
      </c>
    </row>
    <row r="115" spans="1:3">
      <c r="A115" s="156">
        <f>Sheet1!A81</f>
        <v>481</v>
      </c>
      <c r="B115" s="157">
        <f>Sheet1!B81</f>
        <v>12.46</v>
      </c>
      <c r="C115" s="158">
        <v>1</v>
      </c>
    </row>
    <row r="116" spans="1:3">
      <c r="A116" s="156">
        <f>Sheet1!A82</f>
        <v>482</v>
      </c>
      <c r="B116" s="157">
        <f>Sheet1!B82</f>
        <v>12.65</v>
      </c>
      <c r="C116" s="158">
        <v>1</v>
      </c>
    </row>
    <row r="117" spans="1:3">
      <c r="A117" s="156">
        <f>Sheet1!A83</f>
        <v>483</v>
      </c>
      <c r="B117" s="157">
        <f>Sheet1!B83</f>
        <v>12.82</v>
      </c>
      <c r="C117" s="158">
        <v>1</v>
      </c>
    </row>
    <row r="118" spans="1:3">
      <c r="A118" s="156">
        <f>Sheet1!A84</f>
        <v>484</v>
      </c>
      <c r="B118" s="157">
        <f>Sheet1!B84</f>
        <v>12.98</v>
      </c>
      <c r="C118" s="158">
        <v>1</v>
      </c>
    </row>
    <row r="119" spans="1:3">
      <c r="A119" s="156">
        <f>Sheet1!A85</f>
        <v>485</v>
      </c>
      <c r="B119" s="157">
        <f>Sheet1!B85</f>
        <v>13.120000000000001</v>
      </c>
      <c r="C119" s="158">
        <v>1</v>
      </c>
    </row>
    <row r="120" spans="1:3">
      <c r="A120" s="156">
        <f>Sheet1!A86</f>
        <v>490</v>
      </c>
      <c r="B120" s="157">
        <f>Sheet1!B86</f>
        <v>13.71</v>
      </c>
      <c r="C120" s="158">
        <v>1</v>
      </c>
    </row>
    <row r="121" spans="1:3">
      <c r="A121" s="156">
        <f>Sheet1!A87</f>
        <v>495</v>
      </c>
      <c r="B121" s="157">
        <f>Sheet1!B87</f>
        <v>14.020000000000001</v>
      </c>
      <c r="C121" s="158">
        <v>1</v>
      </c>
    </row>
    <row r="122" spans="1:3">
      <c r="A122" s="156">
        <f>Sheet1!A88</f>
        <v>500</v>
      </c>
      <c r="B122" s="157">
        <f>Sheet1!B88</f>
        <v>14.26</v>
      </c>
      <c r="C122" s="158">
        <v>1</v>
      </c>
    </row>
    <row r="123" spans="1:3">
      <c r="A123" s="156">
        <f>Sheet1!A89</f>
        <v>505</v>
      </c>
      <c r="B123" s="157">
        <f>Sheet1!B89</f>
        <v>14.56</v>
      </c>
      <c r="C123" s="158">
        <v>1</v>
      </c>
    </row>
    <row r="124" spans="1:3">
      <c r="A124" s="156">
        <f>Sheet1!A90</f>
        <v>510</v>
      </c>
      <c r="B124" s="157">
        <f>Sheet1!B90</f>
        <v>14.81</v>
      </c>
      <c r="C124" s="158">
        <v>1</v>
      </c>
    </row>
    <row r="125" spans="1:3">
      <c r="A125" s="156">
        <f>Sheet1!A91</f>
        <v>515</v>
      </c>
      <c r="B125" s="157">
        <f>Sheet1!B91</f>
        <v>14.96</v>
      </c>
      <c r="C125" s="158">
        <v>1</v>
      </c>
    </row>
    <row r="126" spans="1:3">
      <c r="A126" s="156">
        <f>Sheet1!A92</f>
        <v>520</v>
      </c>
      <c r="B126" s="157">
        <f>Sheet1!B92</f>
        <v>15.090000000000002</v>
      </c>
      <c r="C126" s="158">
        <v>1</v>
      </c>
    </row>
    <row r="127" spans="1:3">
      <c r="A127" s="156">
        <f>Sheet1!A93</f>
        <v>525</v>
      </c>
      <c r="B127" s="157">
        <f>Sheet1!B93</f>
        <v>15.200000000000001</v>
      </c>
      <c r="C127" s="158">
        <v>1</v>
      </c>
    </row>
    <row r="128" spans="1:3">
      <c r="A128" s="156">
        <f>Sheet1!A94</f>
        <v>530</v>
      </c>
      <c r="B128" s="157">
        <f>Sheet1!B94</f>
        <v>15.280000000000001</v>
      </c>
      <c r="C128" s="158">
        <v>1</v>
      </c>
    </row>
    <row r="129" spans="1:3">
      <c r="A129" s="156">
        <f>Sheet1!A95</f>
        <v>535</v>
      </c>
      <c r="B129" s="157">
        <f>Sheet1!B95</f>
        <v>15.350000000000001</v>
      </c>
      <c r="C129" s="158">
        <v>1</v>
      </c>
    </row>
    <row r="130" spans="1:3">
      <c r="A130" s="156">
        <f>Sheet1!A96</f>
        <v>540</v>
      </c>
      <c r="B130" s="157">
        <f>Sheet1!B96</f>
        <v>15.36</v>
      </c>
      <c r="C130" s="158">
        <v>1</v>
      </c>
    </row>
    <row r="131" spans="1:3">
      <c r="A131" s="156">
        <f>Sheet1!A97</f>
        <v>555</v>
      </c>
      <c r="B131" s="157">
        <f>Sheet1!B97</f>
        <v>15.549999999999999</v>
      </c>
      <c r="C131" s="158">
        <v>1</v>
      </c>
    </row>
    <row r="132" spans="1:3">
      <c r="A132" s="156">
        <f>Sheet1!A98</f>
        <v>570</v>
      </c>
      <c r="B132" s="157">
        <f>Sheet1!B98</f>
        <v>15.709999999999999</v>
      </c>
      <c r="C132" s="158">
        <v>1</v>
      </c>
    </row>
    <row r="133" spans="1:3">
      <c r="A133" s="156">
        <f>Sheet1!A99</f>
        <v>585</v>
      </c>
      <c r="B133" s="157">
        <f>Sheet1!B99</f>
        <v>15.85</v>
      </c>
      <c r="C133" s="158">
        <v>1</v>
      </c>
    </row>
    <row r="134" spans="1:3">
      <c r="A134" s="156">
        <f>Sheet1!A100</f>
        <v>600</v>
      </c>
      <c r="B134" s="157">
        <f>Sheet1!B100</f>
        <v>15.92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H24" sqref="H24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54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W-3</v>
      </c>
      <c r="B26" s="156"/>
      <c r="C26" s="157"/>
    </row>
    <row r="27" spans="1:3">
      <c r="A27" s="159">
        <f>SkinFactor!C8</f>
        <v>1.895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1.3514598577653809</v>
      </c>
      <c r="C31" s="158">
        <v>1</v>
      </c>
    </row>
    <row r="32" spans="1:3">
      <c r="A32" s="156">
        <f>LongTest!D11</f>
        <v>2</v>
      </c>
      <c r="B32" s="160">
        <f>LongTest!G11</f>
        <v>2.5029197155307621</v>
      </c>
      <c r="C32" s="158">
        <v>1</v>
      </c>
    </row>
    <row r="33" spans="1:3">
      <c r="A33" s="156">
        <f>LongTest!D12</f>
        <v>3</v>
      </c>
      <c r="B33" s="160">
        <f>LongTest!G12</f>
        <v>3.2686413991172252</v>
      </c>
      <c r="C33" s="158">
        <v>1</v>
      </c>
    </row>
    <row r="34" spans="1:3">
      <c r="A34" s="156">
        <f>LongTest!D13</f>
        <v>4</v>
      </c>
      <c r="B34" s="160">
        <f>LongTest!G13</f>
        <v>3.8119295796544677</v>
      </c>
      <c r="C34" s="158">
        <v>1</v>
      </c>
    </row>
    <row r="35" spans="1:3">
      <c r="A35" s="156">
        <f>LongTest!D14</f>
        <v>5</v>
      </c>
      <c r="B35" s="160">
        <f>LongTest!G14</f>
        <v>4.2333366314005776</v>
      </c>
      <c r="C35" s="158">
        <v>1</v>
      </c>
    </row>
    <row r="36" spans="1:3">
      <c r="A36" s="156">
        <f>LongTest!D15</f>
        <v>10</v>
      </c>
      <c r="B36" s="160">
        <f>LongTest!G15</f>
        <v>5.5423464955242849</v>
      </c>
      <c r="C36" s="158">
        <v>1</v>
      </c>
    </row>
    <row r="37" spans="1:3">
      <c r="A37" s="156">
        <f>LongTest!D16</f>
        <v>15</v>
      </c>
      <c r="B37" s="160">
        <f>LongTest!G16</f>
        <v>6.308068179110748</v>
      </c>
      <c r="C37" s="158">
        <v>1</v>
      </c>
    </row>
    <row r="38" spans="1:3">
      <c r="A38" s="156">
        <f>LongTest!D17</f>
        <v>20</v>
      </c>
      <c r="B38" s="160">
        <f>LongTest!G17</f>
        <v>6.8513563596479905</v>
      </c>
      <c r="C38" s="158">
        <v>1</v>
      </c>
    </row>
    <row r="39" spans="1:3">
      <c r="A39" s="156">
        <f>LongTest!D18</f>
        <v>25</v>
      </c>
      <c r="B39" s="160">
        <f>LongTest!G18</f>
        <v>7.2727634113940987</v>
      </c>
      <c r="C39" s="158">
        <v>1</v>
      </c>
    </row>
    <row r="40" spans="1:3">
      <c r="A40" s="156">
        <f>LongTest!D19</f>
        <v>30</v>
      </c>
      <c r="B40" s="160">
        <f>LongTest!G19</f>
        <v>7.6170780432344536</v>
      </c>
      <c r="C40" s="158">
        <v>1</v>
      </c>
    </row>
    <row r="41" spans="1:3">
      <c r="A41" s="156">
        <f>LongTest!D20</f>
        <v>35</v>
      </c>
      <c r="B41" s="160">
        <f>LongTest!G20</f>
        <v>7.9081919164702192</v>
      </c>
      <c r="C41" s="158">
        <v>1</v>
      </c>
    </row>
    <row r="42" spans="1:3">
      <c r="A42" s="156">
        <f>LongTest!D21</f>
        <v>40</v>
      </c>
      <c r="B42" s="160">
        <f>LongTest!G21</f>
        <v>8.1603662237716961</v>
      </c>
      <c r="C42" s="158">
        <v>1</v>
      </c>
    </row>
    <row r="43" spans="1:3">
      <c r="A43" s="156">
        <f>LongTest!D22</f>
        <v>45</v>
      </c>
      <c r="B43" s="160">
        <f>LongTest!G22</f>
        <v>8.3827997268209202</v>
      </c>
      <c r="C43" s="158">
        <v>1</v>
      </c>
    </row>
    <row r="44" spans="1:3">
      <c r="A44" s="156">
        <f>LongTest!D23</f>
        <v>50</v>
      </c>
      <c r="B44" s="160">
        <f>LongTest!G23</f>
        <v>8.5817732755178042</v>
      </c>
      <c r="C44" s="158">
        <v>1</v>
      </c>
    </row>
    <row r="45" spans="1:3">
      <c r="A45" s="156">
        <f>LongTest!D24</f>
        <v>55</v>
      </c>
      <c r="B45" s="160">
        <f>LongTest!G24</f>
        <v>8.7617667444582388</v>
      </c>
      <c r="C45" s="158">
        <v>1</v>
      </c>
    </row>
    <row r="46" spans="1:3">
      <c r="A46" s="156">
        <f>LongTest!D25</f>
        <v>60</v>
      </c>
      <c r="B46" s="160">
        <f>LongTest!G25</f>
        <v>8.9260879073581592</v>
      </c>
      <c r="C46" s="158">
        <v>1</v>
      </c>
    </row>
    <row r="47" spans="1:3">
      <c r="A47" s="156">
        <f>LongTest!D26</f>
        <v>75</v>
      </c>
      <c r="B47" s="160">
        <f>LongTest!G26</f>
        <v>9.3474949591042709</v>
      </c>
      <c r="C47" s="158">
        <v>1</v>
      </c>
    </row>
    <row r="48" spans="1:3">
      <c r="A48" s="156">
        <f>LongTest!D27</f>
        <v>90</v>
      </c>
      <c r="B48" s="160">
        <f>LongTest!G27</f>
        <v>9.6918095909446258</v>
      </c>
      <c r="C48" s="158">
        <v>1</v>
      </c>
    </row>
    <row r="49" spans="1:3">
      <c r="A49" s="156">
        <f>LongTest!D28</f>
        <v>105</v>
      </c>
      <c r="B49" s="160">
        <f>LongTest!G28</f>
        <v>9.9829234641803914</v>
      </c>
      <c r="C49" s="158">
        <v>1</v>
      </c>
    </row>
    <row r="50" spans="1:3">
      <c r="A50" s="156">
        <f>LongTest!D29</f>
        <v>120</v>
      </c>
      <c r="B50" s="160">
        <f>LongTest!G29</f>
        <v>10.235097771481868</v>
      </c>
      <c r="C50" s="158">
        <v>1</v>
      </c>
    </row>
    <row r="51" spans="1:3">
      <c r="A51" s="156">
        <f>LongTest!D30</f>
        <v>140</v>
      </c>
      <c r="B51" s="160">
        <f>LongTest!G30</f>
        <v>10.526211644717634</v>
      </c>
      <c r="C51" s="158">
        <v>1</v>
      </c>
    </row>
    <row r="52" spans="1:3">
      <c r="A52" s="156">
        <f>LongTest!D31</f>
        <v>160</v>
      </c>
      <c r="B52" s="160">
        <f>LongTest!G31</f>
        <v>10.778385952019111</v>
      </c>
      <c r="C52" s="158">
        <v>1</v>
      </c>
    </row>
    <row r="53" spans="1:3">
      <c r="A53" s="156">
        <f>LongTest!D32</f>
        <v>180</v>
      </c>
      <c r="B53" s="160">
        <f>LongTest!G32</f>
        <v>11.000819455068331</v>
      </c>
      <c r="C53" s="158">
        <v>1</v>
      </c>
    </row>
    <row r="54" spans="1:3">
      <c r="A54" s="156">
        <f>LongTest!D33</f>
        <v>240</v>
      </c>
      <c r="B54" s="160">
        <f>LongTest!G33</f>
        <v>11.544107635605574</v>
      </c>
      <c r="C54" s="158">
        <v>1</v>
      </c>
    </row>
    <row r="55" spans="1:3">
      <c r="A55" s="156">
        <f>LongTest!D34</f>
        <v>300</v>
      </c>
      <c r="B55" s="160">
        <f>LongTest!G34</f>
        <v>11.965514687351682</v>
      </c>
      <c r="C55" s="158">
        <v>1</v>
      </c>
    </row>
    <row r="56" spans="1:3">
      <c r="A56" s="156">
        <f>LongTest!D35</f>
        <v>360</v>
      </c>
      <c r="B56" s="160">
        <f>LongTest!G35</f>
        <v>12.309829319192037</v>
      </c>
      <c r="C56" s="158">
        <v>1</v>
      </c>
    </row>
    <row r="57" spans="1:3">
      <c r="A57" s="156">
        <f>LongTest!D36</f>
        <v>420</v>
      </c>
      <c r="B57" s="160">
        <f>LongTest!G36</f>
        <v>12.600943192427803</v>
      </c>
      <c r="C57" s="158">
        <v>1</v>
      </c>
    </row>
    <row r="58" spans="1:3">
      <c r="A58" s="156">
        <f>LongTest!D37</f>
        <v>480</v>
      </c>
      <c r="B58" s="160">
        <f>LongTest!G37</f>
        <v>12.853117499729279</v>
      </c>
      <c r="C58" s="158">
        <v>1</v>
      </c>
    </row>
    <row r="59" spans="1:3">
      <c r="A59" s="156">
        <f>LongTest!D38</f>
        <v>540</v>
      </c>
      <c r="B59" s="160">
        <f>LongTest!G38</f>
        <v>13.075551002778504</v>
      </c>
      <c r="C59" s="158">
        <v>1</v>
      </c>
    </row>
    <row r="60" spans="1:3">
      <c r="A60" s="156">
        <f>LongTest!D39</f>
        <v>600</v>
      </c>
      <c r="B60" s="160">
        <f>LongTest!G39</f>
        <v>13.274524551475388</v>
      </c>
      <c r="C60" s="158">
        <v>1</v>
      </c>
    </row>
    <row r="61" spans="1:3">
      <c r="A61" s="156">
        <f>LongTest!D40</f>
        <v>660</v>
      </c>
      <c r="B61" s="160">
        <f>LongTest!G40</f>
        <v>13.454518020415822</v>
      </c>
      <c r="C61" s="158">
        <v>1</v>
      </c>
    </row>
    <row r="62" spans="1:3">
      <c r="A62" s="156">
        <f>LongTest!D41</f>
        <v>720</v>
      </c>
      <c r="B62" s="160">
        <f>LongTest!G41</f>
        <v>13.618839183315746</v>
      </c>
      <c r="C62" s="158">
        <v>1</v>
      </c>
    </row>
    <row r="63" spans="1:3">
      <c r="A63" s="156">
        <f>LongTest!D42</f>
        <v>780</v>
      </c>
      <c r="B63" s="160">
        <f>LongTest!G42</f>
        <v>13.77</v>
      </c>
      <c r="C63" s="158">
        <v>1</v>
      </c>
    </row>
    <row r="64" spans="1:3">
      <c r="A64" s="156">
        <f>LongTest!D43</f>
        <v>840</v>
      </c>
      <c r="B64" s="160">
        <f>LongTest!G43</f>
        <v>13.77</v>
      </c>
      <c r="C64" s="158">
        <v>1</v>
      </c>
    </row>
    <row r="65" spans="1:3">
      <c r="A65" s="156">
        <f>LongTest!D44</f>
        <v>900</v>
      </c>
      <c r="B65" s="160">
        <f>LongTest!G44</f>
        <v>13.77</v>
      </c>
      <c r="C65" s="158">
        <v>1</v>
      </c>
    </row>
    <row r="66" spans="1:3">
      <c r="A66" s="156">
        <f>LongTest!D45</f>
        <v>960</v>
      </c>
      <c r="B66" s="160">
        <f>LongTest!G45</f>
        <v>13.77</v>
      </c>
      <c r="C66" s="158">
        <v>1</v>
      </c>
    </row>
    <row r="67" spans="1:3">
      <c r="A67" s="156">
        <f>LongTest!D46</f>
        <v>1020</v>
      </c>
      <c r="B67" s="160">
        <f>LongTest!G46</f>
        <v>13.77</v>
      </c>
      <c r="C67" s="158">
        <v>1</v>
      </c>
    </row>
    <row r="68" spans="1:3">
      <c r="A68" s="156">
        <f>LongTest!D47</f>
        <v>1080</v>
      </c>
      <c r="B68" s="160">
        <f>LongTest!G47</f>
        <v>13.77</v>
      </c>
      <c r="C68" s="158">
        <v>1</v>
      </c>
    </row>
    <row r="69" spans="1:3">
      <c r="A69" s="156">
        <f>LongTest!D48</f>
        <v>1140</v>
      </c>
      <c r="B69" s="160">
        <f>LongTest!G48</f>
        <v>13.77</v>
      </c>
      <c r="C69" s="158">
        <v>1</v>
      </c>
    </row>
    <row r="70" spans="1:3">
      <c r="A70" s="156">
        <f>LongTest!D49</f>
        <v>1200</v>
      </c>
      <c r="B70" s="160">
        <f>LongTest!G49</f>
        <v>13.77</v>
      </c>
      <c r="C70" s="158">
        <v>1</v>
      </c>
    </row>
    <row r="71" spans="1:3">
      <c r="A71" s="156">
        <f>LongTest!D50</f>
        <v>1260</v>
      </c>
      <c r="B71" s="160">
        <f>LongTest!G50</f>
        <v>13.77</v>
      </c>
      <c r="C71" s="158">
        <v>1</v>
      </c>
    </row>
    <row r="72" spans="1:3">
      <c r="A72" s="156">
        <f>LongTest!D51</f>
        <v>1320</v>
      </c>
      <c r="B72" s="160">
        <f>LongTest!G51</f>
        <v>13.77</v>
      </c>
      <c r="C72" s="158">
        <v>1</v>
      </c>
    </row>
    <row r="73" spans="1:3">
      <c r="A73" s="156">
        <f>LongTest!D52</f>
        <v>1380</v>
      </c>
      <c r="B73" s="160">
        <f>LongTest!G52</f>
        <v>13.77</v>
      </c>
      <c r="C73" s="158">
        <v>1</v>
      </c>
    </row>
    <row r="74" spans="1:3">
      <c r="A74" s="156">
        <f>LongTest!D53</f>
        <v>1440</v>
      </c>
      <c r="B74" s="160">
        <f>LongTest!G53</f>
        <v>13.77</v>
      </c>
      <c r="C74" s="158">
        <v>1</v>
      </c>
    </row>
    <row r="75" spans="1:3">
      <c r="A75" s="156">
        <f>LongTest!D54</f>
        <v>1500</v>
      </c>
      <c r="B75" s="160">
        <f>LongTest!G54</f>
        <v>13.77</v>
      </c>
      <c r="C75" s="158">
        <v>1</v>
      </c>
    </row>
    <row r="76" spans="1:3">
      <c r="A76" s="156">
        <f>LongTest!D55</f>
        <v>1560</v>
      </c>
      <c r="B76" s="160">
        <f>LongTest!G55</f>
        <v>13.77</v>
      </c>
      <c r="C76" s="158">
        <v>1</v>
      </c>
    </row>
    <row r="77" spans="1:3">
      <c r="A77" s="156">
        <f>LongTest!D56</f>
        <v>1620</v>
      </c>
      <c r="B77" s="160">
        <f>LongTest!G56</f>
        <v>13.77</v>
      </c>
      <c r="C77" s="158">
        <v>1</v>
      </c>
    </row>
    <row r="78" spans="1:3">
      <c r="A78" s="156">
        <f>LongTest!D57</f>
        <v>1680</v>
      </c>
      <c r="B78" s="160">
        <f>LongTest!G57</f>
        <v>13.77</v>
      </c>
      <c r="C78" s="158">
        <v>1</v>
      </c>
    </row>
    <row r="79" spans="1:3">
      <c r="A79" s="156">
        <f>LongTest!D58</f>
        <v>1740</v>
      </c>
      <c r="B79" s="160">
        <f>LongTest!G58</f>
        <v>13.77</v>
      </c>
      <c r="C79" s="158">
        <v>1</v>
      </c>
    </row>
    <row r="80" spans="1:3">
      <c r="A80" s="156">
        <f>LongTest!D59</f>
        <v>1800</v>
      </c>
      <c r="B80" s="160">
        <f>LongTest!G59</f>
        <v>13.77</v>
      </c>
      <c r="C80" s="158">
        <v>1</v>
      </c>
    </row>
    <row r="81" spans="1:3">
      <c r="A81" s="156">
        <f>LongTest!D60</f>
        <v>1860</v>
      </c>
      <c r="B81" s="160">
        <f>LongTest!G60</f>
        <v>13.77</v>
      </c>
      <c r="C81" s="158">
        <v>1</v>
      </c>
    </row>
    <row r="82" spans="1:3">
      <c r="A82" s="156">
        <f>LongTest!D61</f>
        <v>1920</v>
      </c>
      <c r="B82" s="160">
        <f>LongTest!G61</f>
        <v>13.77</v>
      </c>
      <c r="C82" s="158">
        <v>1</v>
      </c>
    </row>
    <row r="83" spans="1:3">
      <c r="A83" s="156">
        <f>LongTest!D62</f>
        <v>1980</v>
      </c>
      <c r="B83" s="160">
        <f>LongTest!G62</f>
        <v>13.77</v>
      </c>
      <c r="C83" s="158">
        <v>1</v>
      </c>
    </row>
    <row r="84" spans="1:3">
      <c r="A84" s="156">
        <f>LongTest!D63</f>
        <v>2040</v>
      </c>
      <c r="B84" s="160">
        <f>LongTest!G63</f>
        <v>13.77</v>
      </c>
      <c r="C84" s="158">
        <v>1</v>
      </c>
    </row>
    <row r="85" spans="1:3">
      <c r="A85" s="156">
        <f>LongTest!D64</f>
        <v>2100</v>
      </c>
      <c r="B85" s="160">
        <f>LongTest!G64</f>
        <v>13.77</v>
      </c>
      <c r="C85" s="158">
        <v>1</v>
      </c>
    </row>
    <row r="86" spans="1:3">
      <c r="A86" s="156">
        <f>LongTest!D65</f>
        <v>2160</v>
      </c>
      <c r="B86" s="160">
        <f>LongTest!G65</f>
        <v>13.77</v>
      </c>
      <c r="C86" s="158">
        <v>1</v>
      </c>
    </row>
    <row r="87" spans="1:3">
      <c r="A87" s="156">
        <f>LongTest!D66</f>
        <v>2220</v>
      </c>
      <c r="B87" s="160">
        <f>LongTest!G66</f>
        <v>13.77</v>
      </c>
      <c r="C87" s="158">
        <v>1</v>
      </c>
    </row>
    <row r="88" spans="1:3">
      <c r="A88" s="156">
        <f>LongTest!D67</f>
        <v>2280</v>
      </c>
      <c r="B88" s="160">
        <f>LongTest!G67</f>
        <v>13.77</v>
      </c>
      <c r="C88" s="158">
        <v>1</v>
      </c>
    </row>
    <row r="89" spans="1:3">
      <c r="A89" s="156">
        <f>LongTest!D68</f>
        <v>2340</v>
      </c>
      <c r="B89" s="160">
        <f>LongTest!G68</f>
        <v>13.77</v>
      </c>
      <c r="C89" s="158">
        <v>1</v>
      </c>
    </row>
    <row r="90" spans="1:3">
      <c r="A90" s="156">
        <f>LongTest!D69</f>
        <v>2400</v>
      </c>
      <c r="B90" s="160">
        <f>LongTest!G69</f>
        <v>13.77</v>
      </c>
      <c r="C90" s="158">
        <v>1</v>
      </c>
    </row>
    <row r="91" spans="1:3">
      <c r="A91" s="156">
        <f>LongTest!D70</f>
        <v>2460</v>
      </c>
      <c r="B91" s="160">
        <f>LongTest!G70</f>
        <v>13.77</v>
      </c>
      <c r="C91" s="158">
        <v>1</v>
      </c>
    </row>
    <row r="92" spans="1:3">
      <c r="A92" s="156">
        <f>LongTest!D71</f>
        <v>2520</v>
      </c>
      <c r="B92" s="160">
        <f>LongTest!G71</f>
        <v>13.77</v>
      </c>
      <c r="C92" s="158">
        <v>1</v>
      </c>
    </row>
    <row r="93" spans="1:3">
      <c r="A93" s="156">
        <f>LongTest!D72</f>
        <v>2580</v>
      </c>
      <c r="B93" s="160">
        <f>LongTest!G72</f>
        <v>13.77</v>
      </c>
      <c r="C93" s="158">
        <v>1</v>
      </c>
    </row>
    <row r="94" spans="1:3">
      <c r="A94" s="156">
        <f>LongTest!D73</f>
        <v>2640</v>
      </c>
      <c r="B94" s="160">
        <f>LongTest!G73</f>
        <v>13.77</v>
      </c>
      <c r="C94" s="158">
        <v>1</v>
      </c>
    </row>
    <row r="95" spans="1:3">
      <c r="A95" s="156">
        <f>LongTest!D74</f>
        <v>2700</v>
      </c>
      <c r="B95" s="160">
        <f>LongTest!G74</f>
        <v>13.77</v>
      </c>
      <c r="C95" s="158">
        <v>1</v>
      </c>
    </row>
    <row r="96" spans="1:3">
      <c r="A96" s="156">
        <f>LongTest!D75</f>
        <v>2760</v>
      </c>
      <c r="B96" s="160">
        <f>LongTest!G75</f>
        <v>13.77</v>
      </c>
      <c r="C96" s="158">
        <v>1</v>
      </c>
    </row>
    <row r="97" spans="1:3">
      <c r="A97" s="156">
        <f>LongTest!D76</f>
        <v>2820</v>
      </c>
      <c r="B97" s="160">
        <f>LongTest!G76</f>
        <v>13.77</v>
      </c>
      <c r="C97" s="158">
        <v>1</v>
      </c>
    </row>
    <row r="98" spans="1:3">
      <c r="A98" s="156">
        <f>LongTest!D77</f>
        <v>2880</v>
      </c>
      <c r="B98" s="160">
        <f>LongTest!G77</f>
        <v>13.77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H12" sqref="H11:H12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W-3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54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W-3</v>
      </c>
      <c r="B27" s="156"/>
      <c r="C27" s="157"/>
    </row>
    <row r="28" spans="1:3">
      <c r="A28" s="159">
        <f>SkinFactor!C8</f>
        <v>1.895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13.77</v>
      </c>
      <c r="C32" s="158">
        <v>1</v>
      </c>
    </row>
    <row r="33" spans="1:3">
      <c r="A33" s="156">
        <f>$A$32+LongTest!D78</f>
        <v>2881</v>
      </c>
      <c r="B33" s="157">
        <f>LongTest!G78</f>
        <v>9.53856818681618</v>
      </c>
      <c r="C33" s="158">
        <v>1</v>
      </c>
    </row>
    <row r="34" spans="1:3">
      <c r="A34" s="156">
        <f>$A$32+LongTest!D79</f>
        <v>2882</v>
      </c>
      <c r="B34" s="157">
        <f>LongTest!G79</f>
        <v>8.8168848813245546</v>
      </c>
      <c r="C34" s="158">
        <v>1</v>
      </c>
    </row>
    <row r="35" spans="1:3">
      <c r="A35" s="156">
        <f>$A$32+LongTest!D80</f>
        <v>2883</v>
      </c>
      <c r="B35" s="157">
        <f>LongTest!G80</f>
        <v>8.1498037743206666</v>
      </c>
      <c r="C35" s="158">
        <v>1</v>
      </c>
    </row>
    <row r="36" spans="1:3">
      <c r="A36" s="156">
        <f>$A$32+LongTest!D81</f>
        <v>2884</v>
      </c>
      <c r="B36" s="157">
        <f>LongTest!G81</f>
        <v>7.5331936907350467</v>
      </c>
      <c r="C36" s="158">
        <v>1</v>
      </c>
    </row>
    <row r="37" spans="1:3">
      <c r="A37" s="156">
        <f>$A$32+LongTest!D82</f>
        <v>2885</v>
      </c>
      <c r="B37" s="157">
        <f>LongTest!G82</f>
        <v>6.9632360181408997</v>
      </c>
      <c r="C37" s="158">
        <v>1</v>
      </c>
    </row>
    <row r="38" spans="1:3">
      <c r="A38" s="156">
        <f>$A$32+LongTest!D83</f>
        <v>2890</v>
      </c>
      <c r="B38" s="157">
        <f>LongTest!G83</f>
        <v>5.4992955558528971</v>
      </c>
      <c r="C38" s="158">
        <v>1</v>
      </c>
    </row>
    <row r="39" spans="1:3">
      <c r="A39" s="156">
        <f>$A$32+LongTest!D84</f>
        <v>2895</v>
      </c>
      <c r="B39" s="157">
        <f>LongTest!G84</f>
        <v>5.2182920612614154</v>
      </c>
      <c r="C39" s="158">
        <v>1</v>
      </c>
    </row>
    <row r="40" spans="1:3">
      <c r="A40" s="156">
        <f>$A$32+LongTest!D85</f>
        <v>2900</v>
      </c>
      <c r="B40" s="157">
        <f>LongTest!G85</f>
        <v>4.458536701048736</v>
      </c>
      <c r="C40" s="158">
        <v>1</v>
      </c>
    </row>
    <row r="41" spans="1:3">
      <c r="A41" s="156">
        <f>$A$32+LongTest!D86</f>
        <v>2905</v>
      </c>
      <c r="B41" s="157">
        <f>LongTest!G86</f>
        <v>4.1212060408228259</v>
      </c>
      <c r="C41" s="158">
        <v>1</v>
      </c>
    </row>
    <row r="42" spans="1:3">
      <c r="A42" s="156">
        <f>$A$32+LongTest!D87</f>
        <v>2910</v>
      </c>
      <c r="B42" s="157">
        <f>LongTest!G87</f>
        <v>3.8093976498880213</v>
      </c>
      <c r="C42" s="158">
        <v>1</v>
      </c>
    </row>
    <row r="43" spans="1:3">
      <c r="A43" s="156">
        <f>$A$32+LongTest!D88</f>
        <v>2915</v>
      </c>
      <c r="B43" s="157">
        <f>LongTest!G88</f>
        <v>3.7107950630558943</v>
      </c>
      <c r="C43" s="158">
        <v>1</v>
      </c>
    </row>
    <row r="44" spans="1:3">
      <c r="A44" s="156">
        <f>$A$32+LongTest!D89</f>
        <v>2920</v>
      </c>
      <c r="B44" s="157">
        <f>LongTest!G89</f>
        <v>3.6147447091549436</v>
      </c>
      <c r="C44" s="158">
        <v>1</v>
      </c>
    </row>
    <row r="45" spans="1:3">
      <c r="A45" s="156">
        <f>$A$32+LongTest!D90</f>
        <v>2925</v>
      </c>
      <c r="B45" s="157">
        <f>LongTest!G90</f>
        <v>3.5211805260954776</v>
      </c>
      <c r="C45" s="158">
        <v>1</v>
      </c>
    </row>
    <row r="46" spans="1:3">
      <c r="A46" s="156">
        <f>$A$32+LongTest!D91</f>
        <v>2930</v>
      </c>
      <c r="B46" s="157">
        <f>LongTest!G91</f>
        <v>3.4300381617413316</v>
      </c>
      <c r="C46" s="158">
        <v>1</v>
      </c>
    </row>
    <row r="47" spans="1:3">
      <c r="A47" s="156">
        <f>$A$32+LongTest!D92</f>
        <v>2935</v>
      </c>
      <c r="B47" s="157">
        <f>LongTest!G92</f>
        <v>3.3412549296493634</v>
      </c>
      <c r="C47" s="158">
        <v>1</v>
      </c>
    </row>
    <row r="48" spans="1:3">
      <c r="A48" s="156">
        <f>$A$32+LongTest!D93</f>
        <v>2940</v>
      </c>
      <c r="B48" s="157">
        <f>LongTest!G93</f>
        <v>3.2547697659545975</v>
      </c>
      <c r="C48" s="158">
        <v>1</v>
      </c>
    </row>
    <row r="49" spans="1:3">
      <c r="A49" s="156">
        <f>$A$32+LongTest!D94</f>
        <v>2955</v>
      </c>
      <c r="B49" s="157">
        <f>LongTest!G94</f>
        <v>3.1705231873713529</v>
      </c>
      <c r="C49" s="158">
        <v>1</v>
      </c>
    </row>
    <row r="50" spans="1:3">
      <c r="A50" s="156">
        <f>$A$32+LongTest!D95</f>
        <v>2970</v>
      </c>
      <c r="B50" s="157">
        <f>LongTest!G95</f>
        <v>3.0884572502814702</v>
      </c>
      <c r="C50" s="158">
        <v>1</v>
      </c>
    </row>
    <row r="51" spans="1:3">
      <c r="A51" s="156">
        <f>$A$32+LongTest!D96</f>
        <v>2985</v>
      </c>
      <c r="B51" s="157">
        <f>LongTest!G96</f>
        <v>3.0085155108815043</v>
      </c>
      <c r="C51" s="158">
        <v>1</v>
      </c>
    </row>
    <row r="52" spans="1:3">
      <c r="A52" s="156">
        <f>$A$32+LongTest!D97</f>
        <v>3000</v>
      </c>
      <c r="B52" s="157">
        <f>LongTest!G97</f>
        <v>2.7808927297688504</v>
      </c>
      <c r="C52" s="158">
        <v>1</v>
      </c>
    </row>
    <row r="53" spans="1:3">
      <c r="A53" s="156">
        <f>$A$32+LongTest!D98</f>
        <v>3060</v>
      </c>
      <c r="B53" s="157">
        <f>LongTest!G98</f>
        <v>2.7089120015647672</v>
      </c>
      <c r="C53" s="158">
        <v>1</v>
      </c>
    </row>
    <row r="54" spans="1:3">
      <c r="A54" s="156">
        <f>$A$32+LongTest!D99</f>
        <v>3120</v>
      </c>
      <c r="B54" s="157">
        <f>LongTest!G99</f>
        <v>2.314508930718675</v>
      </c>
      <c r="C54" s="158">
        <v>1</v>
      </c>
    </row>
    <row r="55" spans="1:3">
      <c r="A55" s="156">
        <f>$A$32+LongTest!D100</f>
        <v>3180</v>
      </c>
      <c r="B55" s="157">
        <f>LongTest!G100</f>
        <v>1.9775288334512644</v>
      </c>
      <c r="C55" s="158">
        <v>1</v>
      </c>
    </row>
    <row r="56" spans="1:3">
      <c r="A56" s="156">
        <f>$A$32+LongTest!D101</f>
        <v>3240</v>
      </c>
      <c r="B56" s="157">
        <f>LongTest!G101</f>
        <v>1.6896112325290693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14" sqref="H14:J23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W-3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45299.4375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15.2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195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7.9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W-3</v>
      </c>
      <c r="E12" s="492"/>
      <c r="F12" s="490"/>
      <c r="H12" s="489" t="str">
        <f>C4</f>
        <v>W-3</v>
      </c>
      <c r="I12" s="492"/>
      <c r="J12" s="490"/>
      <c r="L12" s="493" t="str">
        <f>C4</f>
        <v>W-3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1</v>
      </c>
    </row>
    <row r="14" spans="2:16" s="12" customFormat="1" ht="26.1" customHeight="1">
      <c r="B14" s="107">
        <f>$C$6+C14/1440</f>
        <v>45299.440972222219</v>
      </c>
      <c r="C14" s="108">
        <v>5</v>
      </c>
      <c r="D14" s="109">
        <f t="shared" ref="D14:D20" si="0">baseTemp+H14</f>
        <v>15.299999999999999</v>
      </c>
      <c r="E14" s="110">
        <f>$C$8+I14</f>
        <v>199</v>
      </c>
      <c r="F14" s="111">
        <f>$C$9+J14</f>
        <v>7.98</v>
      </c>
      <c r="H14" s="112">
        <v>0.1</v>
      </c>
      <c r="I14" s="113">
        <v>4</v>
      </c>
      <c r="J14" s="114">
        <v>0.08</v>
      </c>
      <c r="L14" s="104">
        <f ca="1">ROUND(myRandBetween(1,3,10), 1)</f>
        <v>-0.2</v>
      </c>
      <c r="M14" s="105">
        <f ca="1">myRandBetween(1,20,1)</f>
        <v>17</v>
      </c>
      <c r="N14" s="106">
        <f ca="1">ROUND(myRandBetween(8,12,100), 2)</f>
        <v>0.09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45299.458333333336</v>
      </c>
      <c r="C15" s="114">
        <v>30</v>
      </c>
      <c r="D15" s="116">
        <f t="shared" si="0"/>
        <v>15.299999999999999</v>
      </c>
      <c r="E15" s="117">
        <f t="shared" ref="E15:E20" si="3">$C$8+I15</f>
        <v>214</v>
      </c>
      <c r="F15" s="118">
        <f t="shared" ref="F15:F20" si="4">$C$9+J15</f>
        <v>7.79</v>
      </c>
      <c r="H15" s="112">
        <v>0.1</v>
      </c>
      <c r="I15" s="113">
        <v>19</v>
      </c>
      <c r="J15" s="114">
        <v>-0.11</v>
      </c>
      <c r="L15" s="104">
        <f t="shared" ref="L15:L23" ca="1" si="5">ROUND(myRandBetween(1,3,10), 1)</f>
        <v>0.3</v>
      </c>
      <c r="M15" s="105">
        <f t="shared" ref="M15:M23" ca="1" si="6">myRandBetween(1,20,1)</f>
        <v>-13</v>
      </c>
      <c r="N15" s="106">
        <f t="shared" ref="N15:N23" ca="1" si="7">ROUND(myRandBetween(8,12,100), 2)</f>
        <v>0.08</v>
      </c>
      <c r="O15" s="6"/>
      <c r="P15" s="6">
        <f t="shared" ca="1" si="1"/>
        <v>2</v>
      </c>
    </row>
    <row r="16" spans="2:16" s="12" customFormat="1" ht="26.1" customHeight="1">
      <c r="B16" s="115">
        <f t="shared" si="2"/>
        <v>45299.479166666664</v>
      </c>
      <c r="C16" s="114">
        <v>60</v>
      </c>
      <c r="D16" s="116">
        <f t="shared" si="0"/>
        <v>15.5</v>
      </c>
      <c r="E16" s="117">
        <f t="shared" si="3"/>
        <v>210</v>
      </c>
      <c r="F16" s="118">
        <f t="shared" si="4"/>
        <v>8.01</v>
      </c>
      <c r="H16" s="112">
        <v>0.3</v>
      </c>
      <c r="I16" s="113">
        <v>15</v>
      </c>
      <c r="J16" s="114">
        <v>0.11</v>
      </c>
      <c r="L16" s="104">
        <f t="shared" ca="1" si="5"/>
        <v>0.1</v>
      </c>
      <c r="M16" s="105">
        <f t="shared" ca="1" si="6"/>
        <v>16</v>
      </c>
      <c r="N16" s="106">
        <f t="shared" ca="1" si="7"/>
        <v>-0.09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45299.520833333336</v>
      </c>
      <c r="C17" s="114">
        <v>120</v>
      </c>
      <c r="D17" s="116">
        <f t="shared" si="0"/>
        <v>15.5</v>
      </c>
      <c r="E17" s="117">
        <f t="shared" si="3"/>
        <v>207</v>
      </c>
      <c r="F17" s="118">
        <f t="shared" si="4"/>
        <v>7.79</v>
      </c>
      <c r="H17" s="112">
        <v>0.3</v>
      </c>
      <c r="I17" s="113">
        <v>12</v>
      </c>
      <c r="J17" s="114">
        <v>-0.11</v>
      </c>
      <c r="L17" s="104">
        <f t="shared" ca="1" si="5"/>
        <v>0.2</v>
      </c>
      <c r="M17" s="105">
        <f t="shared" ca="1" si="6"/>
        <v>-12</v>
      </c>
      <c r="N17" s="106">
        <f t="shared" ca="1" si="7"/>
        <v>0.12</v>
      </c>
      <c r="O17" s="6"/>
      <c r="P17" s="6">
        <f t="shared" ca="1" si="1"/>
        <v>2</v>
      </c>
    </row>
    <row r="18" spans="2:16" s="12" customFormat="1" ht="26.1" customHeight="1">
      <c r="B18" s="115">
        <f t="shared" si="2"/>
        <v>45299.604166666664</v>
      </c>
      <c r="C18" s="114">
        <v>240</v>
      </c>
      <c r="D18" s="116">
        <f t="shared" si="0"/>
        <v>15.5</v>
      </c>
      <c r="E18" s="117">
        <f t="shared" si="3"/>
        <v>207</v>
      </c>
      <c r="F18" s="118">
        <f t="shared" si="4"/>
        <v>7.82</v>
      </c>
      <c r="H18" s="112">
        <v>0.3</v>
      </c>
      <c r="I18" s="113">
        <v>12</v>
      </c>
      <c r="J18" s="114">
        <v>-0.08</v>
      </c>
      <c r="L18" s="104">
        <f t="shared" ca="1" si="5"/>
        <v>0.3</v>
      </c>
      <c r="M18" s="105">
        <f t="shared" ca="1" si="6"/>
        <v>19</v>
      </c>
      <c r="N18" s="106">
        <f t="shared" ca="1" si="7"/>
        <v>0.12</v>
      </c>
      <c r="O18" s="6"/>
      <c r="P18" s="6">
        <f t="shared" ca="1" si="1"/>
        <v>3</v>
      </c>
    </row>
    <row r="19" spans="2:16" s="12" customFormat="1" ht="26.1" customHeight="1">
      <c r="B19" s="115">
        <f t="shared" si="2"/>
        <v>45299.770833333336</v>
      </c>
      <c r="C19" s="114">
        <v>480</v>
      </c>
      <c r="D19" s="116">
        <f t="shared" si="0"/>
        <v>15.399999999999999</v>
      </c>
      <c r="E19" s="117">
        <f t="shared" si="3"/>
        <v>178</v>
      </c>
      <c r="F19" s="118">
        <f t="shared" si="4"/>
        <v>7.98</v>
      </c>
      <c r="H19" s="112">
        <v>0.2</v>
      </c>
      <c r="I19" s="113">
        <v>-17</v>
      </c>
      <c r="J19" s="114">
        <v>0.08</v>
      </c>
      <c r="L19" s="104">
        <f t="shared" ca="1" si="5"/>
        <v>0.1</v>
      </c>
      <c r="M19" s="105">
        <f t="shared" ca="1" si="6"/>
        <v>4</v>
      </c>
      <c r="N19" s="106">
        <f t="shared" ca="1" si="7"/>
        <v>0.1</v>
      </c>
      <c r="O19" s="6"/>
      <c r="P19" s="6">
        <f t="shared" ca="1" si="1"/>
        <v>2</v>
      </c>
    </row>
    <row r="20" spans="2:16" s="100" customFormat="1" ht="26.1" customHeight="1">
      <c r="B20" s="115">
        <f t="shared" si="2"/>
        <v>45300.4375</v>
      </c>
      <c r="C20" s="114">
        <v>1440</v>
      </c>
      <c r="D20" s="116">
        <f t="shared" si="0"/>
        <v>15.5</v>
      </c>
      <c r="E20" s="117">
        <f t="shared" si="3"/>
        <v>211</v>
      </c>
      <c r="F20" s="118">
        <f t="shared" si="4"/>
        <v>8</v>
      </c>
      <c r="H20" s="112">
        <v>0.3</v>
      </c>
      <c r="I20" s="113">
        <v>16</v>
      </c>
      <c r="J20" s="114">
        <v>0.1</v>
      </c>
      <c r="L20" s="104">
        <f t="shared" ca="1" si="5"/>
        <v>-0.2</v>
      </c>
      <c r="M20" s="105">
        <f t="shared" ca="1" si="6"/>
        <v>-7</v>
      </c>
      <c r="N20" s="106">
        <f t="shared" ca="1" si="7"/>
        <v>-0.1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45300.604166666664</v>
      </c>
      <c r="C21" s="114">
        <v>1680</v>
      </c>
      <c r="D21" s="116">
        <f>$D$20</f>
        <v>15.5</v>
      </c>
      <c r="E21" s="117">
        <f>$E$20</f>
        <v>211</v>
      </c>
      <c r="F21" s="118">
        <f>$F$20</f>
        <v>8</v>
      </c>
      <c r="H21" s="112">
        <v>0.1</v>
      </c>
      <c r="I21" s="113">
        <v>-2</v>
      </c>
      <c r="J21" s="114">
        <v>-0.1</v>
      </c>
      <c r="L21" s="104">
        <f t="shared" ca="1" si="5"/>
        <v>0.1</v>
      </c>
      <c r="M21" s="105">
        <f t="shared" ca="1" si="6"/>
        <v>-9</v>
      </c>
      <c r="N21" s="106">
        <f t="shared" ca="1" si="7"/>
        <v>-0.1</v>
      </c>
      <c r="O21" s="6"/>
      <c r="P21" s="6">
        <f t="shared" ca="1" si="1"/>
        <v>3</v>
      </c>
    </row>
    <row r="22" spans="2:16" s="100" customFormat="1" ht="26.1" customHeight="1">
      <c r="B22" s="115">
        <f t="shared" si="2"/>
        <v>45300.770833333336</v>
      </c>
      <c r="C22" s="114">
        <v>1920</v>
      </c>
      <c r="D22" s="116">
        <f t="shared" ref="D22:D23" si="8">$D$20</f>
        <v>15.5</v>
      </c>
      <c r="E22" s="117">
        <f t="shared" ref="E22:E23" si="9">$E$20</f>
        <v>211</v>
      </c>
      <c r="F22" s="118">
        <f t="shared" ref="F22:F23" si="10">$F$20</f>
        <v>8</v>
      </c>
      <c r="H22" s="112">
        <v>-0.3</v>
      </c>
      <c r="I22" s="113">
        <v>14</v>
      </c>
      <c r="J22" s="114">
        <v>-0.12</v>
      </c>
      <c r="L22" s="104">
        <f t="shared" ca="1" si="5"/>
        <v>0.2</v>
      </c>
      <c r="M22" s="105">
        <f t="shared" ca="1" si="6"/>
        <v>20</v>
      </c>
      <c r="N22" s="106">
        <f t="shared" ca="1" si="7"/>
        <v>0.12</v>
      </c>
      <c r="O22" s="6"/>
      <c r="P22" s="6">
        <f t="shared" ca="1" si="1"/>
        <v>2</v>
      </c>
    </row>
    <row r="23" spans="2:16" s="100" customFormat="1" ht="26.1" customHeight="1" thickBot="1">
      <c r="B23" s="115">
        <f t="shared" si="2"/>
        <v>45301.4375</v>
      </c>
      <c r="C23" s="114">
        <v>2880</v>
      </c>
      <c r="D23" s="116">
        <f t="shared" si="8"/>
        <v>15.5</v>
      </c>
      <c r="E23" s="117">
        <f t="shared" si="9"/>
        <v>211</v>
      </c>
      <c r="F23" s="118">
        <f t="shared" si="10"/>
        <v>8</v>
      </c>
      <c r="H23" s="119">
        <v>0.3</v>
      </c>
      <c r="I23" s="120">
        <v>-14</v>
      </c>
      <c r="J23" s="121">
        <v>0.1</v>
      </c>
      <c r="L23" s="144">
        <f t="shared" ca="1" si="5"/>
        <v>-0.1</v>
      </c>
      <c r="M23" s="145">
        <f t="shared" ca="1" si="6"/>
        <v>-2</v>
      </c>
      <c r="N23" s="122">
        <f t="shared" ca="1" si="7"/>
        <v>-0.08</v>
      </c>
      <c r="O23" s="6"/>
      <c r="P23" s="6">
        <f t="shared" ca="1" si="1"/>
        <v>3</v>
      </c>
    </row>
    <row r="24" spans="2:16" s="100" customFormat="1" ht="26.1" customHeight="1">
      <c r="B24" s="496" t="s">
        <v>79</v>
      </c>
      <c r="C24" s="497"/>
      <c r="D24" s="135">
        <f>MAX(D14:D23)</f>
        <v>15.5</v>
      </c>
      <c r="E24" s="136">
        <f t="shared" ref="E24:F24" si="11">MAX(E14:E23)</f>
        <v>214</v>
      </c>
      <c r="F24" s="134">
        <f t="shared" si="11"/>
        <v>8.01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15.299999999999999</v>
      </c>
      <c r="E25" s="136">
        <f t="shared" ref="E25:F25" si="12">MIN(E14:E23)</f>
        <v>178</v>
      </c>
      <c r="F25" s="134">
        <f t="shared" si="12"/>
        <v>7.79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0.20000000000000107</v>
      </c>
      <c r="E26" s="138">
        <f t="shared" ref="E26:F26" si="13">E24-E25</f>
        <v>36</v>
      </c>
      <c r="F26" s="139">
        <f t="shared" si="13"/>
        <v>0.21999999999999975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88F5-E1CA-4261-BCEA-576916EA5C0A}">
  <sheetPr codeName="shW_StepTEST1">
    <tabColor rgb="FF00B050"/>
  </sheetPr>
  <dimension ref="A1:CZ715"/>
  <sheetViews>
    <sheetView showGridLines="0" view="pageBreakPreview" zoomScaleNormal="100" zoomScaleSheetLayoutView="100" workbookViewId="0">
      <selection activeCell="J19" sqref="J19"/>
    </sheetView>
  </sheetViews>
  <sheetFormatPr defaultColWidth="9" defaultRowHeight="12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6384" width="9" style="48"/>
  </cols>
  <sheetData>
    <row r="1" spans="1:104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</row>
    <row r="2" spans="1:104" s="50" customFormat="1" ht="20.25">
      <c r="A2" s="195"/>
      <c r="B2" s="193"/>
      <c r="C2" s="193"/>
      <c r="D2" s="193"/>
      <c r="E2" s="193"/>
      <c r="F2" s="193"/>
      <c r="G2" s="193"/>
      <c r="H2" s="193"/>
      <c r="I2" s="194"/>
    </row>
    <row r="3" spans="1:104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</row>
    <row r="4" spans="1:104" s="52" customFormat="1" ht="23.1" customHeight="1">
      <c r="A4" s="471" t="s">
        <v>160</v>
      </c>
      <c r="B4" s="471"/>
      <c r="C4" s="346" t="s">
        <v>264</v>
      </c>
      <c r="D4" s="347"/>
      <c r="E4" s="347"/>
      <c r="F4" s="347"/>
      <c r="G4" s="347"/>
      <c r="H4" s="348"/>
      <c r="I4" s="349"/>
    </row>
    <row r="5" spans="1:104" s="52" customFormat="1" ht="23.1" customHeight="1">
      <c r="A5" s="471" t="s">
        <v>161</v>
      </c>
      <c r="B5" s="471"/>
      <c r="C5" s="350" t="s">
        <v>265</v>
      </c>
      <c r="D5" s="347"/>
      <c r="E5" s="347"/>
      <c r="F5" s="351"/>
      <c r="G5" s="347"/>
      <c r="H5" s="352" t="s">
        <v>257</v>
      </c>
      <c r="I5" s="353"/>
    </row>
    <row r="6" spans="1:104" s="52" customFormat="1" ht="23.1" customHeight="1">
      <c r="A6" s="471" t="s">
        <v>162</v>
      </c>
      <c r="B6" s="471"/>
      <c r="C6" s="354" t="s">
        <v>266</v>
      </c>
      <c r="D6" s="347"/>
      <c r="E6" s="347"/>
      <c r="F6" s="347"/>
      <c r="G6" s="347"/>
      <c r="H6" s="348"/>
      <c r="I6" s="349"/>
    </row>
    <row r="7" spans="1:104" s="52" customFormat="1" ht="23.1" customHeight="1">
      <c r="A7" s="471" t="s">
        <v>163</v>
      </c>
      <c r="B7" s="471"/>
      <c r="C7" s="355" t="s">
        <v>223</v>
      </c>
      <c r="D7" s="356"/>
      <c r="E7" s="347"/>
      <c r="F7" s="357"/>
      <c r="G7" s="358" t="s">
        <v>265</v>
      </c>
      <c r="H7" s="359"/>
      <c r="I7" s="360"/>
    </row>
    <row r="8" spans="1:104" s="52" customFormat="1" ht="23.1" customHeight="1">
      <c r="A8" s="361" t="s">
        <v>164</v>
      </c>
      <c r="B8" s="361"/>
      <c r="C8" s="472">
        <v>5</v>
      </c>
      <c r="D8" s="473"/>
      <c r="E8" s="474"/>
      <c r="F8" s="362" t="s">
        <v>165</v>
      </c>
      <c r="G8" s="358" t="s">
        <v>265</v>
      </c>
      <c r="H8" s="359"/>
      <c r="I8" s="363"/>
    </row>
    <row r="9" spans="1:104" s="52" customFormat="1" ht="23.1" customHeight="1">
      <c r="A9" s="361" t="s">
        <v>166</v>
      </c>
      <c r="B9" s="361"/>
      <c r="C9" s="364" t="s">
        <v>167</v>
      </c>
      <c r="D9" s="475">
        <v>200</v>
      </c>
      <c r="E9" s="475"/>
      <c r="F9" s="345" t="s">
        <v>168</v>
      </c>
      <c r="G9" s="476">
        <v>500</v>
      </c>
      <c r="H9" s="476"/>
      <c r="I9" s="345"/>
    </row>
    <row r="10" spans="1:104" s="52" customFormat="1" ht="23.1" customHeight="1">
      <c r="A10" s="361" t="s">
        <v>169</v>
      </c>
      <c r="B10" s="361"/>
      <c r="C10" s="364" t="s">
        <v>217</v>
      </c>
      <c r="D10" s="477">
        <v>11.75</v>
      </c>
      <c r="E10" s="478"/>
      <c r="F10" s="365" t="s">
        <v>4</v>
      </c>
      <c r="G10" s="479" t="s">
        <v>4</v>
      </c>
      <c r="H10" s="479"/>
      <c r="I10" s="353"/>
    </row>
    <row r="11" spans="1:104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</row>
    <row r="12" spans="1:104" s="52" customFormat="1" ht="23.1" customHeight="1">
      <c r="A12" s="367">
        <v>1</v>
      </c>
      <c r="B12" s="368">
        <v>34</v>
      </c>
      <c r="C12" s="369">
        <v>44992.479166666664</v>
      </c>
      <c r="D12" s="469">
        <v>1</v>
      </c>
      <c r="E12" s="469"/>
      <c r="F12" s="370">
        <v>12.75</v>
      </c>
      <c r="G12" s="470">
        <v>1</v>
      </c>
      <c r="H12" s="470"/>
      <c r="I12" s="345" t="s">
        <v>177</v>
      </c>
      <c r="CZ12" s="52">
        <v>2.46</v>
      </c>
    </row>
    <row r="13" spans="1:104" s="52" customFormat="1" ht="23.1" customHeight="1">
      <c r="A13" s="367"/>
      <c r="B13" s="367"/>
      <c r="C13" s="369"/>
      <c r="D13" s="469">
        <v>2</v>
      </c>
      <c r="E13" s="469"/>
      <c r="F13" s="370">
        <v>13.44</v>
      </c>
      <c r="G13" s="470">
        <v>1.69</v>
      </c>
      <c r="H13" s="470"/>
      <c r="I13" s="371"/>
      <c r="CZ13" s="52">
        <v>3.77</v>
      </c>
    </row>
    <row r="14" spans="1:104" s="52" customFormat="1" ht="23.1" customHeight="1">
      <c r="A14" s="367"/>
      <c r="B14" s="367"/>
      <c r="C14" s="369"/>
      <c r="D14" s="469">
        <v>3</v>
      </c>
      <c r="E14" s="469"/>
      <c r="F14" s="370">
        <v>13.84</v>
      </c>
      <c r="G14" s="470">
        <v>2.09</v>
      </c>
      <c r="H14" s="470"/>
      <c r="I14" s="371"/>
      <c r="CZ14" s="52">
        <v>4.87</v>
      </c>
    </row>
    <row r="15" spans="1:104" s="52" customFormat="1" ht="23.1" customHeight="1">
      <c r="A15" s="367"/>
      <c r="B15" s="367"/>
      <c r="C15" s="369"/>
      <c r="D15" s="469">
        <v>4</v>
      </c>
      <c r="E15" s="469"/>
      <c r="F15" s="370">
        <v>14.129999999999999</v>
      </c>
      <c r="G15" s="470">
        <v>2.38</v>
      </c>
      <c r="H15" s="470"/>
      <c r="I15" s="371"/>
      <c r="CZ15" s="52">
        <v>5.79</v>
      </c>
    </row>
    <row r="16" spans="1:104" s="52" customFormat="1" ht="23.1" customHeight="1">
      <c r="A16" s="367"/>
      <c r="B16" s="367"/>
      <c r="C16" s="369"/>
      <c r="D16" s="469">
        <v>5</v>
      </c>
      <c r="E16" s="469"/>
      <c r="F16" s="370">
        <v>14.35</v>
      </c>
      <c r="G16" s="470">
        <v>2.6</v>
      </c>
      <c r="H16" s="470"/>
      <c r="I16" s="371"/>
      <c r="CZ16" s="52">
        <v>6.75</v>
      </c>
    </row>
    <row r="17" spans="1:104" s="52" customFormat="1" ht="23.1" customHeight="1">
      <c r="A17" s="367"/>
      <c r="B17" s="367"/>
      <c r="C17" s="369"/>
      <c r="D17" s="469">
        <v>10</v>
      </c>
      <c r="E17" s="469"/>
      <c r="F17" s="370">
        <v>15.04</v>
      </c>
      <c r="G17" s="470">
        <v>3.29</v>
      </c>
      <c r="H17" s="470"/>
      <c r="I17" s="371"/>
      <c r="CZ17" s="52">
        <v>7.73</v>
      </c>
    </row>
    <row r="18" spans="1:104" s="52" customFormat="1" ht="23.1" customHeight="1">
      <c r="A18" s="367"/>
      <c r="B18" s="367"/>
      <c r="C18" s="369"/>
      <c r="D18" s="469">
        <v>15</v>
      </c>
      <c r="E18" s="469"/>
      <c r="F18" s="370">
        <v>15.44</v>
      </c>
      <c r="G18" s="470">
        <v>3.69</v>
      </c>
      <c r="H18" s="470"/>
      <c r="I18" s="371"/>
      <c r="CZ18" s="52">
        <v>8.74</v>
      </c>
    </row>
    <row r="19" spans="1:104" s="52" customFormat="1" ht="23.1" customHeight="1">
      <c r="A19" s="367"/>
      <c r="B19" s="367"/>
      <c r="C19" s="369"/>
      <c r="D19" s="469">
        <v>20</v>
      </c>
      <c r="E19" s="469"/>
      <c r="F19" s="370">
        <v>15.73</v>
      </c>
      <c r="G19" s="470">
        <v>3.98</v>
      </c>
      <c r="H19" s="470"/>
      <c r="I19" s="371"/>
      <c r="CZ19" s="52">
        <v>9.7799999999999994</v>
      </c>
    </row>
    <row r="20" spans="1:104" s="52" customFormat="1" ht="23.1" customHeight="1">
      <c r="A20" s="367"/>
      <c r="B20" s="367"/>
      <c r="C20" s="369"/>
      <c r="D20" s="469">
        <v>25</v>
      </c>
      <c r="E20" s="469"/>
      <c r="F20" s="370">
        <v>15.95</v>
      </c>
      <c r="G20" s="470">
        <v>4.2</v>
      </c>
      <c r="H20" s="470"/>
      <c r="I20" s="371"/>
      <c r="CZ20" s="52">
        <v>10</v>
      </c>
    </row>
    <row r="21" spans="1:104" s="52" customFormat="1" ht="23.1" customHeight="1">
      <c r="A21" s="367"/>
      <c r="B21" s="367"/>
      <c r="C21" s="369"/>
      <c r="D21" s="469">
        <v>30</v>
      </c>
      <c r="E21" s="469"/>
      <c r="F21" s="370">
        <v>16.13</v>
      </c>
      <c r="G21" s="470">
        <v>4.38</v>
      </c>
      <c r="H21" s="470"/>
      <c r="I21" s="371"/>
      <c r="CZ21" s="52">
        <v>10.16</v>
      </c>
    </row>
    <row r="22" spans="1:104" s="52" customFormat="1" ht="23.1" customHeight="1">
      <c r="A22" s="367"/>
      <c r="B22" s="367"/>
      <c r="C22" s="369"/>
      <c r="D22" s="469">
        <v>35</v>
      </c>
      <c r="E22" s="469"/>
      <c r="F22" s="370">
        <v>16.28</v>
      </c>
      <c r="G22" s="470">
        <v>4.53</v>
      </c>
      <c r="H22" s="470"/>
      <c r="I22" s="345"/>
      <c r="CZ22" s="52">
        <v>10.02</v>
      </c>
    </row>
    <row r="23" spans="1:104" s="52" customFormat="1" ht="23.1" customHeight="1">
      <c r="A23" s="367"/>
      <c r="B23" s="367"/>
      <c r="C23" s="369"/>
      <c r="D23" s="469">
        <v>40</v>
      </c>
      <c r="E23" s="469"/>
      <c r="F23" s="370">
        <v>16.41</v>
      </c>
      <c r="G23" s="470">
        <v>4.66</v>
      </c>
      <c r="H23" s="470"/>
      <c r="I23" s="345"/>
      <c r="CZ23" s="52">
        <v>10.02</v>
      </c>
    </row>
    <row r="24" spans="1:104" s="52" customFormat="1" ht="23.1" customHeight="1">
      <c r="A24" s="367"/>
      <c r="B24" s="367"/>
      <c r="C24" s="369"/>
      <c r="D24" s="469">
        <v>45</v>
      </c>
      <c r="E24" s="469"/>
      <c r="F24" s="370">
        <v>16.53</v>
      </c>
      <c r="G24" s="470">
        <v>4.78</v>
      </c>
      <c r="H24" s="470"/>
      <c r="I24" s="345"/>
      <c r="CZ24" s="52">
        <v>10.02</v>
      </c>
    </row>
    <row r="25" spans="1:104" s="52" customFormat="1" ht="23.1" customHeight="1">
      <c r="A25" s="367"/>
      <c r="B25" s="367"/>
      <c r="C25" s="369"/>
      <c r="D25" s="469">
        <v>50</v>
      </c>
      <c r="E25" s="469"/>
      <c r="F25" s="370">
        <v>16.64</v>
      </c>
      <c r="G25" s="470">
        <v>4.8899999999999997</v>
      </c>
      <c r="H25" s="470"/>
      <c r="I25" s="345"/>
      <c r="CZ25" s="52">
        <v>10.02</v>
      </c>
    </row>
    <row r="26" spans="1:104" s="52" customFormat="1" ht="23.1" customHeight="1">
      <c r="A26" s="367"/>
      <c r="B26" s="367"/>
      <c r="C26" s="369"/>
      <c r="D26" s="469">
        <v>55</v>
      </c>
      <c r="E26" s="469"/>
      <c r="F26" s="370">
        <v>16.73</v>
      </c>
      <c r="G26" s="470">
        <v>4.9800000000000004</v>
      </c>
      <c r="H26" s="470"/>
      <c r="I26" s="345"/>
      <c r="CZ26" s="52">
        <v>10.06</v>
      </c>
    </row>
    <row r="27" spans="1:104" s="52" customFormat="1" ht="23.1" customHeight="1">
      <c r="A27" s="367"/>
      <c r="B27" s="367"/>
      <c r="C27" s="369">
        <v>44992.520833333328</v>
      </c>
      <c r="D27" s="469">
        <v>60</v>
      </c>
      <c r="E27" s="469"/>
      <c r="F27" s="370">
        <v>16.82</v>
      </c>
      <c r="G27" s="470">
        <v>5.07</v>
      </c>
      <c r="H27" s="470"/>
      <c r="I27" s="345"/>
      <c r="CZ27" s="52">
        <v>10.06</v>
      </c>
    </row>
    <row r="28" spans="1:104" s="52" customFormat="1" ht="23.1" customHeight="1">
      <c r="A28" s="367"/>
      <c r="B28" s="367"/>
      <c r="C28" s="369"/>
      <c r="D28" s="469">
        <v>75</v>
      </c>
      <c r="E28" s="469"/>
      <c r="F28" s="370">
        <v>17.04</v>
      </c>
      <c r="G28" s="470">
        <v>5.29</v>
      </c>
      <c r="H28" s="470"/>
      <c r="I28" s="345"/>
      <c r="CZ28" s="52">
        <v>10.15</v>
      </c>
    </row>
    <row r="29" spans="1:104" s="52" customFormat="1" ht="23.1" customHeight="1">
      <c r="A29" s="367"/>
      <c r="B29" s="367"/>
      <c r="C29" s="369"/>
      <c r="D29" s="469">
        <v>90</v>
      </c>
      <c r="E29" s="469"/>
      <c r="F29" s="370">
        <v>17.22</v>
      </c>
      <c r="G29" s="470">
        <v>5.47</v>
      </c>
      <c r="H29" s="470"/>
      <c r="I29" s="345"/>
      <c r="CZ29" s="52">
        <v>10.15</v>
      </c>
    </row>
    <row r="30" spans="1:104" s="52" customFormat="1" ht="23.1" customHeight="1">
      <c r="A30" s="367"/>
      <c r="B30" s="367"/>
      <c r="C30" s="369"/>
      <c r="D30" s="469">
        <v>105</v>
      </c>
      <c r="E30" s="469"/>
      <c r="F30" s="370">
        <v>17.37</v>
      </c>
      <c r="G30" s="470">
        <v>5.62</v>
      </c>
      <c r="H30" s="470"/>
      <c r="I30" s="345"/>
      <c r="CZ30" s="52">
        <v>10.15</v>
      </c>
    </row>
    <row r="31" spans="1:104" s="52" customFormat="1" ht="23.1" customHeight="1">
      <c r="A31" s="367"/>
      <c r="B31" s="367"/>
      <c r="C31" s="369"/>
      <c r="D31" s="469">
        <v>120</v>
      </c>
      <c r="E31" s="469"/>
      <c r="F31" s="370">
        <v>17.509999999999998</v>
      </c>
      <c r="G31" s="470">
        <v>5.76</v>
      </c>
      <c r="H31" s="470"/>
      <c r="I31" s="345"/>
      <c r="CZ31" s="52">
        <v>10.77</v>
      </c>
    </row>
    <row r="32" spans="1:104" s="52" customFormat="1" ht="23.1" customHeight="1">
      <c r="A32" s="367">
        <v>2</v>
      </c>
      <c r="B32" s="368">
        <v>43</v>
      </c>
      <c r="C32" s="369">
        <v>44992.569444444445</v>
      </c>
      <c r="D32" s="469">
        <v>130</v>
      </c>
      <c r="E32" s="469"/>
      <c r="F32" s="370">
        <v>18.66</v>
      </c>
      <c r="G32" s="470">
        <v>6.91</v>
      </c>
      <c r="H32" s="470"/>
      <c r="I32" s="345"/>
      <c r="CZ32" s="52">
        <v>14.26</v>
      </c>
    </row>
    <row r="33" spans="1:104" s="52" customFormat="1" ht="23.1" customHeight="1">
      <c r="A33" s="367"/>
      <c r="B33" s="367"/>
      <c r="C33" s="369"/>
      <c r="D33" s="469">
        <v>140</v>
      </c>
      <c r="E33" s="469"/>
      <c r="F33" s="370">
        <v>18.850000000000001</v>
      </c>
      <c r="G33" s="470">
        <v>7.1</v>
      </c>
      <c r="H33" s="470"/>
      <c r="I33" s="345"/>
      <c r="CZ33" s="52">
        <v>15.41</v>
      </c>
    </row>
    <row r="34" spans="1:104" s="52" customFormat="1" ht="23.1" customHeight="1">
      <c r="A34" s="367"/>
      <c r="B34" s="367"/>
      <c r="C34" s="369"/>
      <c r="D34" s="469">
        <v>150</v>
      </c>
      <c r="E34" s="469"/>
      <c r="F34" s="370">
        <v>19.04</v>
      </c>
      <c r="G34" s="470">
        <v>7.29</v>
      </c>
      <c r="H34" s="470"/>
      <c r="I34" s="345"/>
      <c r="CZ34" s="52">
        <v>15.6</v>
      </c>
    </row>
    <row r="35" spans="1:104" s="52" customFormat="1" ht="23.1" customHeight="1">
      <c r="A35" s="367"/>
      <c r="B35" s="367"/>
      <c r="C35" s="369"/>
      <c r="D35" s="469">
        <v>180</v>
      </c>
      <c r="E35" s="469"/>
      <c r="F35" s="370">
        <v>19.23</v>
      </c>
      <c r="G35" s="470">
        <v>7.48</v>
      </c>
      <c r="H35" s="470"/>
      <c r="I35" s="345"/>
      <c r="CZ35" s="52">
        <v>15.64</v>
      </c>
    </row>
    <row r="36" spans="1:104" s="52" customFormat="1" ht="23.1" customHeight="1">
      <c r="A36" s="367"/>
      <c r="B36" s="367"/>
      <c r="C36" s="369"/>
      <c r="D36" s="469">
        <v>240</v>
      </c>
      <c r="E36" s="469"/>
      <c r="F36" s="370">
        <v>19.43</v>
      </c>
      <c r="G36" s="470">
        <v>7.68</v>
      </c>
      <c r="H36" s="470"/>
      <c r="I36" s="345"/>
      <c r="CZ36" s="52">
        <v>15.67</v>
      </c>
    </row>
    <row r="37" spans="1:104" s="52" customFormat="1" ht="23.1" customHeight="1">
      <c r="A37" s="367">
        <v>3</v>
      </c>
      <c r="B37" s="368">
        <v>52.699999999999996</v>
      </c>
      <c r="C37" s="369">
        <v>44992.652777777774</v>
      </c>
      <c r="D37" s="469">
        <v>250</v>
      </c>
      <c r="E37" s="469"/>
      <c r="F37" s="370">
        <v>20.72</v>
      </c>
      <c r="G37" s="470">
        <v>8.9700000000000006</v>
      </c>
      <c r="H37" s="470"/>
      <c r="I37" s="345"/>
      <c r="CZ37" s="52">
        <v>19.260000000000002</v>
      </c>
    </row>
    <row r="38" spans="1:104" s="52" customFormat="1" ht="23.1" customHeight="1">
      <c r="A38" s="367"/>
      <c r="B38" s="367"/>
      <c r="C38" s="369"/>
      <c r="D38" s="469">
        <v>260</v>
      </c>
      <c r="E38" s="469"/>
      <c r="F38" s="370">
        <v>20.939999999999998</v>
      </c>
      <c r="G38" s="470">
        <v>9.19</v>
      </c>
      <c r="H38" s="470"/>
      <c r="I38" s="345"/>
      <c r="CZ38" s="52">
        <v>20.059999999999999</v>
      </c>
    </row>
    <row r="39" spans="1:104" s="52" customFormat="1" ht="23.1" customHeight="1">
      <c r="A39" s="367"/>
      <c r="B39" s="367"/>
      <c r="C39" s="369"/>
      <c r="D39" s="469">
        <v>270</v>
      </c>
      <c r="E39" s="469"/>
      <c r="F39" s="370">
        <v>21.15</v>
      </c>
      <c r="G39" s="470">
        <v>9.4</v>
      </c>
      <c r="H39" s="470"/>
      <c r="I39" s="345"/>
      <c r="CZ39" s="52">
        <v>20.46</v>
      </c>
    </row>
    <row r="40" spans="1:104" s="52" customFormat="1" ht="23.1" customHeight="1">
      <c r="A40" s="367"/>
      <c r="B40" s="367"/>
      <c r="C40" s="369"/>
      <c r="D40" s="469">
        <v>300</v>
      </c>
      <c r="E40" s="469"/>
      <c r="F40" s="370">
        <v>21.369999999999997</v>
      </c>
      <c r="G40" s="470">
        <v>9.6199999999999992</v>
      </c>
      <c r="H40" s="470"/>
      <c r="I40" s="345"/>
      <c r="CZ40" s="52">
        <v>20.66</v>
      </c>
    </row>
    <row r="41" spans="1:104" s="52" customFormat="1" ht="23.1" customHeight="1">
      <c r="A41" s="367"/>
      <c r="B41" s="367"/>
      <c r="C41" s="369"/>
      <c r="D41" s="469">
        <v>360</v>
      </c>
      <c r="E41" s="469"/>
      <c r="F41" s="370">
        <v>21.59</v>
      </c>
      <c r="G41" s="470">
        <v>9.84</v>
      </c>
      <c r="H41" s="470"/>
      <c r="I41" s="345"/>
      <c r="CZ41" s="52">
        <v>20.75</v>
      </c>
    </row>
    <row r="42" spans="1:104" s="52" customFormat="1" ht="23.1" customHeight="1">
      <c r="A42" s="367">
        <v>4</v>
      </c>
      <c r="B42" s="368">
        <v>62</v>
      </c>
      <c r="C42" s="369">
        <v>44992.736111111109</v>
      </c>
      <c r="D42" s="469">
        <v>370</v>
      </c>
      <c r="E42" s="469"/>
      <c r="F42" s="370">
        <v>23.03</v>
      </c>
      <c r="G42" s="470">
        <v>11.28</v>
      </c>
      <c r="H42" s="470"/>
      <c r="I42" s="345"/>
      <c r="CZ42" s="52">
        <v>29.31</v>
      </c>
    </row>
    <row r="43" spans="1:104" s="52" customFormat="1" ht="23.1" customHeight="1">
      <c r="A43" s="367"/>
      <c r="B43" s="367"/>
      <c r="C43" s="369"/>
      <c r="D43" s="469">
        <v>380</v>
      </c>
      <c r="E43" s="469"/>
      <c r="F43" s="370">
        <v>23.27</v>
      </c>
      <c r="G43" s="470">
        <v>11.52</v>
      </c>
      <c r="H43" s="470"/>
      <c r="I43" s="345"/>
      <c r="CZ43" s="52">
        <v>31.81</v>
      </c>
    </row>
    <row r="44" spans="1:104" s="52" customFormat="1" ht="23.1" customHeight="1">
      <c r="A44" s="367"/>
      <c r="B44" s="367"/>
      <c r="C44" s="369"/>
      <c r="D44" s="469">
        <v>390</v>
      </c>
      <c r="E44" s="469"/>
      <c r="F44" s="370">
        <v>23.509999999999998</v>
      </c>
      <c r="G44" s="470">
        <v>11.76</v>
      </c>
      <c r="H44" s="470"/>
      <c r="I44" s="345"/>
      <c r="CZ44" s="52">
        <v>35.83</v>
      </c>
    </row>
    <row r="45" spans="1:104" s="52" customFormat="1" ht="23.1" customHeight="1">
      <c r="A45" s="367"/>
      <c r="B45" s="367"/>
      <c r="C45" s="369"/>
      <c r="D45" s="469">
        <v>420</v>
      </c>
      <c r="E45" s="469"/>
      <c r="F45" s="370">
        <v>23.75</v>
      </c>
      <c r="G45" s="470">
        <v>12</v>
      </c>
      <c r="H45" s="470"/>
      <c r="I45" s="345"/>
      <c r="CZ45" s="52">
        <v>35.96</v>
      </c>
    </row>
    <row r="46" spans="1:104" s="52" customFormat="1" ht="23.1" customHeight="1">
      <c r="A46" s="367"/>
      <c r="B46" s="367"/>
      <c r="C46" s="369"/>
      <c r="D46" s="469">
        <v>480</v>
      </c>
      <c r="E46" s="469"/>
      <c r="F46" s="370">
        <v>24</v>
      </c>
      <c r="G46" s="470">
        <v>12.25</v>
      </c>
      <c r="H46" s="470"/>
      <c r="I46" s="345"/>
      <c r="CZ46" s="52">
        <v>36.01</v>
      </c>
    </row>
    <row r="47" spans="1:104" s="52" customFormat="1" ht="23.1" customHeight="1">
      <c r="A47" s="367">
        <v>5</v>
      </c>
      <c r="B47" s="368">
        <v>71.3</v>
      </c>
      <c r="C47" s="369">
        <v>44992.819444444445</v>
      </c>
      <c r="D47" s="469">
        <v>490</v>
      </c>
      <c r="E47" s="469"/>
      <c r="F47" s="370">
        <v>25.46</v>
      </c>
      <c r="G47" s="470">
        <v>13.71</v>
      </c>
      <c r="H47" s="470"/>
      <c r="I47" s="345"/>
      <c r="CZ47" s="52">
        <v>30.66</v>
      </c>
    </row>
    <row r="48" spans="1:104" s="52" customFormat="1" ht="23.1" customHeight="1">
      <c r="A48" s="367"/>
      <c r="B48" s="367"/>
      <c r="C48" s="369"/>
      <c r="D48" s="469">
        <v>500</v>
      </c>
      <c r="E48" s="469"/>
      <c r="F48" s="370">
        <v>26.009999999999998</v>
      </c>
      <c r="G48" s="470">
        <v>14.26</v>
      </c>
      <c r="H48" s="470"/>
      <c r="I48" s="345"/>
      <c r="CZ48" s="52">
        <v>30.83</v>
      </c>
    </row>
    <row r="49" spans="1:104" s="52" customFormat="1" ht="23.1" customHeight="1">
      <c r="A49" s="367"/>
      <c r="B49" s="367"/>
      <c r="C49" s="369"/>
      <c r="D49" s="469">
        <v>510</v>
      </c>
      <c r="E49" s="469"/>
      <c r="F49" s="370">
        <v>26.560000000000002</v>
      </c>
      <c r="G49" s="470">
        <v>14.81</v>
      </c>
      <c r="H49" s="470"/>
      <c r="I49" s="345"/>
      <c r="CZ49" s="52">
        <v>30.83</v>
      </c>
    </row>
    <row r="50" spans="1:104" s="52" customFormat="1" ht="23.1" customHeight="1">
      <c r="A50" s="367"/>
      <c r="B50" s="367"/>
      <c r="C50" s="369"/>
      <c r="D50" s="469">
        <v>540</v>
      </c>
      <c r="E50" s="469"/>
      <c r="F50" s="370">
        <v>27.11</v>
      </c>
      <c r="G50" s="470">
        <v>15.36</v>
      </c>
      <c r="H50" s="470"/>
      <c r="I50" s="345"/>
      <c r="CZ50" s="52">
        <v>30.83</v>
      </c>
    </row>
    <row r="51" spans="1:104" s="52" customFormat="1" ht="23.1" customHeight="1">
      <c r="A51" s="367"/>
      <c r="B51" s="367"/>
      <c r="C51" s="369">
        <v>44992.895833333328</v>
      </c>
      <c r="D51" s="469">
        <v>600</v>
      </c>
      <c r="E51" s="469"/>
      <c r="F51" s="370">
        <v>27.67</v>
      </c>
      <c r="G51" s="470">
        <v>15.92</v>
      </c>
      <c r="H51" s="470"/>
      <c r="I51" s="345" t="s">
        <v>180</v>
      </c>
      <c r="CZ51" s="52">
        <v>31.590000000000117</v>
      </c>
    </row>
    <row r="52" spans="1:104" s="52" customFormat="1" ht="17.25" customHeight="1">
      <c r="CZ52" s="52">
        <v>13.38</v>
      </c>
    </row>
    <row r="53" spans="1:104" s="52" customFormat="1" ht="17.25" customHeight="1">
      <c r="CZ53" s="52">
        <v>9.48</v>
      </c>
    </row>
    <row r="54" spans="1:104" s="52" customFormat="1" ht="17.25" customHeight="1">
      <c r="CZ54" s="52">
        <v>6.56</v>
      </c>
    </row>
    <row r="55" spans="1:104" s="52" customFormat="1" ht="17.25" customHeight="1">
      <c r="CZ55" s="52">
        <v>4.22</v>
      </c>
    </row>
    <row r="56" spans="1:104" s="52" customFormat="1" ht="17.25" customHeight="1">
      <c r="CZ56" s="52">
        <v>3.05</v>
      </c>
    </row>
    <row r="57" spans="1:104" s="52" customFormat="1" ht="17.25" customHeight="1">
      <c r="CZ57" s="52">
        <v>2.27</v>
      </c>
    </row>
    <row r="58" spans="1:104" s="52" customFormat="1" ht="17.25" customHeight="1">
      <c r="CZ58" s="52">
        <v>1.69</v>
      </c>
    </row>
    <row r="59" spans="1:104" s="52" customFormat="1" ht="17.25" customHeight="1">
      <c r="CZ59" s="52">
        <v>1.22</v>
      </c>
    </row>
    <row r="60" spans="1:104" s="52" customFormat="1" ht="17.25" customHeight="1">
      <c r="CZ60" s="52">
        <v>0.83</v>
      </c>
    </row>
    <row r="61" spans="1:104" s="52" customFormat="1" ht="17.25" customHeight="1">
      <c r="CZ61" s="52">
        <v>0.5699999999999994</v>
      </c>
    </row>
    <row r="62" spans="1:104" s="52" customFormat="1" ht="17.25" customHeight="1">
      <c r="CZ62" s="52">
        <v>0.38</v>
      </c>
    </row>
    <row r="63" spans="1:104" s="52" customFormat="1" ht="17.25" customHeight="1">
      <c r="CZ63" s="52">
        <v>0.27999999999999936</v>
      </c>
    </row>
    <row r="64" spans="1:104" s="52" customFormat="1" ht="17.25" customHeight="1">
      <c r="CZ64" s="52">
        <v>0.22</v>
      </c>
    </row>
    <row r="65" spans="102:104" s="52" customFormat="1" ht="17.25" customHeight="1">
      <c r="CZ65" s="52">
        <v>0.17</v>
      </c>
    </row>
    <row r="66" spans="102:104" s="52" customFormat="1" ht="17.25" customHeight="1">
      <c r="CZ66" s="52">
        <v>0.13</v>
      </c>
    </row>
    <row r="67" spans="102:104" s="52" customFormat="1" ht="17.25" customHeight="1">
      <c r="CX67" s="52">
        <v>9.9999999999999645E-2</v>
      </c>
    </row>
    <row r="68" spans="102:104" s="52" customFormat="1" ht="17.25" customHeight="1"/>
    <row r="69" spans="102:104" s="52" customFormat="1" ht="17.25" customHeight="1"/>
    <row r="70" spans="102:104" s="52" customFormat="1" ht="17.25" customHeight="1"/>
    <row r="71" spans="102:104" s="52" customFormat="1" ht="17.25" customHeight="1"/>
    <row r="72" spans="102:104" s="52" customFormat="1" ht="17.25" customHeight="1"/>
    <row r="73" spans="102:104" s="52" customFormat="1" ht="17.25" customHeight="1"/>
    <row r="74" spans="102:104" s="52" customFormat="1" ht="17.25" customHeight="1"/>
    <row r="75" spans="102:104" s="52" customFormat="1" ht="17.25" customHeight="1"/>
    <row r="76" spans="102:104" s="52" customFormat="1" ht="17.25" customHeight="1"/>
    <row r="77" spans="102:104" s="52" customFormat="1" ht="17.25" customHeight="1"/>
    <row r="78" spans="102:104" s="52" customFormat="1" ht="17.25" customHeight="1"/>
    <row r="79" spans="102:104" s="52" customFormat="1" ht="17.25" customHeight="1"/>
    <row r="80" spans="102:104" s="52" customFormat="1" ht="17.25" customHeight="1"/>
    <row r="81" s="52" customFormat="1" ht="17.25" customHeight="1"/>
    <row r="82" s="52" customFormat="1" ht="17.25" customHeight="1"/>
    <row r="83" s="52" customFormat="1" ht="17.25" customHeight="1"/>
    <row r="84" s="52" customFormat="1" ht="17.25" customHeight="1"/>
    <row r="85" s="52" customFormat="1" ht="17.25" customHeight="1"/>
    <row r="86" s="52" customFormat="1" ht="17.25" customHeight="1"/>
    <row r="87" s="52" customFormat="1" ht="17.25" customHeight="1"/>
    <row r="88" s="52" customFormat="1" ht="17.25" customHeight="1"/>
    <row r="89" s="52" customFormat="1" ht="17.25" customHeight="1"/>
    <row r="90" s="52" customFormat="1" ht="17.25" customHeight="1"/>
    <row r="91" s="52" customFormat="1" ht="17.25" customHeight="1"/>
    <row r="92" s="52" customFormat="1" ht="17.25" customHeight="1"/>
    <row r="93" s="52" customFormat="1" ht="17.25" customHeight="1"/>
    <row r="94" s="52" customFormat="1" ht="17.25" customHeight="1"/>
    <row r="95" s="52" customFormat="1" ht="17.25" customHeight="1"/>
    <row r="96" s="52" customFormat="1" ht="17.25" customHeight="1"/>
    <row r="97" s="52" customFormat="1" ht="17.25" customHeight="1"/>
    <row r="98" s="52" customFormat="1" ht="17.25" customHeight="1"/>
    <row r="99" s="52" customFormat="1" ht="17.25" customHeight="1"/>
    <row r="100" s="52" customFormat="1" ht="17.25" customHeight="1"/>
    <row r="101" s="52" customFormat="1" ht="17.25" customHeight="1"/>
    <row r="102" s="52" customFormat="1" ht="17.25" customHeight="1"/>
    <row r="103" s="52" customFormat="1" ht="17.25" customHeight="1"/>
    <row r="104" s="52" customFormat="1" ht="17.25" customHeight="1"/>
    <row r="105" s="52" customFormat="1" ht="17.25" customHeight="1"/>
    <row r="106" s="52" customFormat="1" ht="17.25" customHeight="1"/>
    <row r="107" s="52" customFormat="1" ht="17.25" customHeight="1"/>
    <row r="108" s="52" customFormat="1" ht="17.25" customHeight="1"/>
    <row r="109" s="52" customFormat="1" ht="17.25" customHeight="1"/>
    <row r="110" s="52" customFormat="1" ht="17.25" customHeight="1"/>
    <row r="111" s="52" customFormat="1" ht="17.25" customHeight="1"/>
    <row r="112" s="52" customFormat="1" ht="17.25" customHeight="1"/>
    <row r="113" s="52" customFormat="1" ht="17.25" customHeight="1"/>
    <row r="114" s="52" customFormat="1" ht="17.25" customHeight="1"/>
    <row r="115" s="52" customFormat="1" ht="17.25" customHeight="1"/>
    <row r="116" s="52" customFormat="1" ht="17.25" customHeight="1"/>
    <row r="117" s="52" customFormat="1" ht="17.25" customHeight="1"/>
    <row r="118" s="52" customFormat="1" ht="17.25" customHeight="1"/>
    <row r="119" s="52" customFormat="1" ht="17.25" customHeight="1"/>
    <row r="120" s="52" customFormat="1" ht="17.25" customHeight="1"/>
    <row r="121" s="52" customFormat="1" ht="17.25" customHeight="1"/>
    <row r="122" s="52" customFormat="1" ht="17.25" customHeight="1"/>
    <row r="123" s="52" customFormat="1" ht="17.25" customHeight="1"/>
    <row r="124" s="52" customFormat="1" ht="17.25" customHeight="1"/>
    <row r="125" s="52" customFormat="1" ht="17.25" customHeight="1"/>
    <row r="126" s="52" customFormat="1" ht="17.25" customHeight="1"/>
    <row r="127" s="52" customFormat="1" ht="17.25" customHeight="1"/>
    <row r="128" s="52" customFormat="1" ht="17.25" customHeight="1"/>
    <row r="129" s="52" customFormat="1" ht="17.25" customHeight="1"/>
    <row r="130" s="52" customFormat="1" ht="17.25" customHeight="1"/>
    <row r="131" s="52" customFormat="1" ht="17.25" customHeight="1"/>
    <row r="132" s="52" customFormat="1" ht="17.25" customHeight="1"/>
    <row r="133" s="52" customFormat="1" ht="17.25" customHeight="1"/>
    <row r="134" s="52" customFormat="1" ht="17.25" customHeight="1"/>
    <row r="135" s="52" customFormat="1" ht="17.25" customHeight="1"/>
    <row r="136" s="52" customFormat="1" ht="17.25" customHeight="1"/>
    <row r="137" s="52" customFormat="1" ht="17.25" customHeight="1"/>
    <row r="138" s="52" customFormat="1" ht="17.25" customHeight="1"/>
    <row r="139" s="52" customFormat="1" ht="17.25" customHeight="1"/>
    <row r="140" s="52" customFormat="1" ht="17.25" customHeight="1"/>
    <row r="141" s="52" customFormat="1" ht="17.25" customHeight="1"/>
    <row r="142" s="52" customFormat="1" ht="17.25" customHeight="1"/>
    <row r="143" s="52" customFormat="1" ht="17.25" customHeight="1"/>
    <row r="144" s="52" customFormat="1" ht="17.25" customHeight="1"/>
    <row r="145" s="52" customFormat="1" ht="17.25" customHeight="1"/>
    <row r="146" s="52" customFormat="1" ht="17.25" customHeight="1"/>
    <row r="147" s="52" customFormat="1" ht="17.25" customHeight="1"/>
    <row r="148" s="52" customFormat="1" ht="17.25" customHeight="1"/>
    <row r="149" s="52" customFormat="1" ht="17.25" customHeight="1"/>
    <row r="150" s="52" customFormat="1" ht="17.25" customHeight="1"/>
    <row r="151" s="52" customFormat="1" ht="17.25" customHeight="1"/>
    <row r="152" s="52" customFormat="1" ht="17.25" customHeight="1"/>
    <row r="153" s="52" customFormat="1" ht="17.25" customHeight="1"/>
    <row r="154" s="52" customFormat="1" ht="17.25" customHeight="1"/>
    <row r="155" s="52" customFormat="1" ht="17.25" customHeight="1"/>
    <row r="156" s="52" customFormat="1" ht="17.25" customHeight="1"/>
    <row r="157" s="52" customFormat="1" ht="17.25" customHeight="1"/>
    <row r="158" s="52" customFormat="1" ht="17.25" customHeight="1"/>
    <row r="159" s="52" customFormat="1" ht="17.25" customHeight="1"/>
    <row r="160" s="52" customFormat="1" ht="17.25" customHeight="1"/>
    <row r="161" s="52" customFormat="1" ht="17.25" customHeight="1"/>
    <row r="162" s="52" customFormat="1" ht="17.25" customHeight="1"/>
    <row r="163" s="52" customFormat="1" ht="17.25" customHeight="1"/>
    <row r="164" s="52" customFormat="1" ht="17.25" customHeight="1"/>
    <row r="165" s="52" customFormat="1" ht="17.25" customHeight="1"/>
    <row r="166" s="52" customFormat="1" ht="17.25" customHeight="1"/>
    <row r="167" s="52" customFormat="1" ht="17.25" customHeight="1"/>
    <row r="168" s="52" customFormat="1" ht="17.25" customHeight="1"/>
    <row r="169" s="52" customFormat="1" ht="17.25" customHeight="1"/>
    <row r="170" s="52" customFormat="1" ht="17.25" customHeight="1"/>
    <row r="171" s="52" customFormat="1" ht="17.25" customHeight="1"/>
    <row r="172" s="52" customFormat="1" ht="17.25" customHeight="1"/>
    <row r="173" s="52" customFormat="1" ht="17.25" customHeight="1"/>
    <row r="174" s="52" customFormat="1" ht="17.25" customHeight="1"/>
    <row r="175" s="52" customFormat="1" ht="17.25" customHeight="1"/>
    <row r="176" s="52" customFormat="1" ht="17.25" customHeight="1"/>
    <row r="177" s="52" customFormat="1" ht="17.25" customHeight="1"/>
    <row r="178" s="52" customFormat="1" ht="17.25" customHeight="1"/>
    <row r="179" s="52" customFormat="1" ht="17.25" customHeight="1"/>
    <row r="180" s="52" customFormat="1" ht="17.25" customHeight="1"/>
    <row r="181" s="52" customFormat="1" ht="17.25" customHeight="1"/>
    <row r="182" s="52" customFormat="1" ht="17.25" customHeight="1"/>
    <row r="183" s="52" customFormat="1" ht="17.25" customHeight="1"/>
    <row r="184" s="52" customFormat="1" ht="17.25" customHeight="1"/>
    <row r="185" s="52" customFormat="1" ht="17.25" customHeight="1"/>
    <row r="186" s="52" customFormat="1" ht="17.25" customHeight="1"/>
    <row r="187" s="52" customFormat="1" ht="17.25" customHeight="1"/>
    <row r="188" s="52" customFormat="1" ht="17.25" customHeight="1"/>
    <row r="189" s="52" customFormat="1" ht="17.25" customHeight="1"/>
    <row r="190" s="52" customFormat="1" ht="17.25" customHeight="1"/>
    <row r="191" s="52" customFormat="1" ht="17.25" customHeight="1"/>
    <row r="192" s="52" customFormat="1" ht="17.25" customHeight="1"/>
    <row r="193" s="52" customFormat="1" ht="17.25" customHeight="1"/>
    <row r="194" s="52" customFormat="1" ht="17.25" customHeight="1"/>
    <row r="195" s="52" customFormat="1" ht="17.25" customHeight="1"/>
    <row r="196" s="52" customFormat="1" ht="17.25" customHeight="1"/>
    <row r="197" s="52" customFormat="1" ht="17.25" customHeight="1"/>
    <row r="198" s="52" customFormat="1" ht="17.25" customHeight="1"/>
    <row r="199" s="52" customFormat="1" ht="17.25" customHeight="1"/>
    <row r="200" s="52" customFormat="1" ht="17.25" customHeight="1"/>
    <row r="201" s="52" customFormat="1" ht="17.25" customHeight="1"/>
    <row r="202" s="52" customFormat="1" ht="17.25" customHeight="1"/>
    <row r="203" s="52" customFormat="1" ht="17.25" customHeight="1"/>
    <row r="204" s="52" customFormat="1" ht="17.25" customHeight="1"/>
    <row r="205" s="52" customFormat="1" ht="17.25" customHeight="1"/>
    <row r="206" s="52" customFormat="1" ht="17.25" customHeight="1"/>
    <row r="207" s="52" customFormat="1" ht="17.25" customHeight="1"/>
    <row r="208" s="52" customFormat="1" ht="17.25" customHeight="1"/>
    <row r="209" s="52" customFormat="1" ht="17.25" customHeight="1"/>
    <row r="210" s="52" customFormat="1" ht="17.25" customHeight="1"/>
    <row r="211" s="52" customFormat="1" ht="17.25" customHeight="1"/>
    <row r="212" s="52" customFormat="1" ht="17.25" customHeight="1"/>
    <row r="213" s="52" customFormat="1" ht="17.25" customHeight="1"/>
    <row r="214" s="52" customFormat="1" ht="17.25" customHeight="1"/>
    <row r="215" s="52" customFormat="1" ht="17.25" customHeight="1"/>
    <row r="216" s="52" customFormat="1" ht="17.25" customHeight="1"/>
    <row r="217" s="52" customFormat="1" ht="17.25" customHeight="1"/>
    <row r="218" s="52" customFormat="1" ht="17.25" customHeight="1"/>
    <row r="219" s="52" customFormat="1" ht="17.25" customHeight="1"/>
    <row r="220" s="52" customFormat="1" ht="17.25" customHeight="1"/>
    <row r="221" s="52" customFormat="1" ht="17.25" customHeight="1"/>
    <row r="222" s="52" customFormat="1" ht="17.25" customHeight="1"/>
    <row r="223" s="52" customFormat="1" ht="17.25" customHeight="1"/>
    <row r="224" s="52" customFormat="1" ht="17.25" customHeight="1"/>
    <row r="225" s="52" customFormat="1" ht="17.25" customHeight="1"/>
    <row r="226" s="52" customFormat="1" ht="17.25" customHeight="1"/>
    <row r="227" s="52" customFormat="1" ht="17.25" customHeight="1"/>
    <row r="228" s="52" customFormat="1" ht="17.25" customHeight="1"/>
    <row r="229" s="52" customFormat="1" ht="17.25" customHeight="1"/>
    <row r="230" s="52" customFormat="1" ht="17.25" customHeight="1"/>
    <row r="231" s="52" customFormat="1" ht="17.25" customHeight="1"/>
    <row r="232" s="52" customFormat="1" ht="17.25" customHeight="1"/>
    <row r="233" s="52" customFormat="1" ht="17.25" customHeight="1"/>
    <row r="234" s="52" customFormat="1" ht="17.25" customHeight="1"/>
    <row r="235" s="52" customFormat="1" ht="17.25" customHeight="1"/>
    <row r="236" s="52" customFormat="1" ht="17.25" customHeight="1"/>
    <row r="237" s="52" customFormat="1" ht="17.25" customHeight="1"/>
    <row r="238" s="52" customFormat="1" ht="17.25" customHeight="1"/>
    <row r="239" s="52" customFormat="1" ht="17.25" customHeight="1"/>
    <row r="240" s="52" customFormat="1" ht="17.25" customHeight="1"/>
    <row r="241" s="52" customFormat="1" ht="17.25" customHeight="1"/>
    <row r="242" s="52" customFormat="1" ht="17.25" customHeight="1"/>
    <row r="243" s="52" customFormat="1" ht="17.25" customHeight="1"/>
    <row r="244" s="52" customFormat="1" ht="17.25" customHeight="1"/>
    <row r="245" s="52" customFormat="1" ht="17.25" customHeight="1"/>
    <row r="246" s="52" customFormat="1" ht="17.25" customHeight="1"/>
    <row r="247" s="52" customFormat="1" ht="17.25" customHeight="1"/>
    <row r="248" s="52" customFormat="1" ht="17.25" customHeight="1"/>
    <row r="249" s="52" customFormat="1" ht="17.25" customHeight="1"/>
    <row r="250" s="52" customFormat="1" ht="17.25" customHeight="1"/>
    <row r="251" s="52" customFormat="1" ht="17.25" customHeight="1"/>
    <row r="252" s="52" customFormat="1" ht="17.25" customHeight="1"/>
    <row r="253" s="52" customFormat="1" ht="17.25" customHeight="1"/>
    <row r="254" s="52" customFormat="1" ht="17.25" customHeight="1"/>
    <row r="255" s="52" customFormat="1" ht="17.25" customHeight="1"/>
    <row r="256" s="52" customFormat="1" ht="17.25" customHeight="1"/>
    <row r="257" s="52" customFormat="1" ht="17.25" customHeight="1"/>
    <row r="258" s="52" customFormat="1" ht="17.25" customHeight="1"/>
    <row r="259" s="52" customFormat="1" ht="17.25" customHeight="1"/>
    <row r="260" s="52" customFormat="1" ht="17.25" customHeight="1"/>
    <row r="261" s="52" customFormat="1" ht="17.25" customHeight="1"/>
    <row r="262" s="52" customFormat="1" ht="17.25" customHeight="1"/>
    <row r="263" s="52" customFormat="1" ht="17.25" customHeight="1"/>
    <row r="264" s="52" customFormat="1" ht="17.25" customHeight="1"/>
    <row r="265" s="52" customFormat="1" ht="17.25" customHeight="1"/>
    <row r="266" s="52" customFormat="1" ht="17.25" customHeight="1"/>
    <row r="267" s="52" customFormat="1" ht="17.25" customHeight="1"/>
    <row r="268" s="52" customFormat="1" ht="17.25" customHeight="1"/>
    <row r="269" s="52" customFormat="1" ht="17.25" customHeight="1"/>
    <row r="270" s="52" customFormat="1" ht="17.25" customHeight="1"/>
    <row r="271" s="52" customFormat="1" ht="17.25" customHeight="1"/>
    <row r="272" s="52" customFormat="1" ht="17.25" customHeight="1"/>
    <row r="273" s="52" customFormat="1" ht="17.25" customHeight="1"/>
    <row r="274" s="52" customFormat="1" ht="17.25" customHeight="1"/>
    <row r="275" s="52" customFormat="1" ht="17.25" customHeight="1"/>
    <row r="276" s="52" customFormat="1" ht="17.25" customHeight="1"/>
    <row r="277" s="52" customFormat="1" ht="17.25" customHeight="1"/>
    <row r="278" s="52" customFormat="1" ht="17.25" customHeight="1"/>
    <row r="279" s="52" customFormat="1" ht="17.25" customHeight="1"/>
    <row r="280" s="52" customFormat="1" ht="17.25" customHeight="1"/>
    <row r="281" s="52" customFormat="1" ht="17.25" customHeight="1"/>
    <row r="282" s="52" customFormat="1" ht="17.25" customHeight="1"/>
    <row r="283" s="52" customFormat="1" ht="17.25" customHeight="1"/>
    <row r="284" s="52" customFormat="1" ht="17.25" customHeight="1"/>
    <row r="285" s="52" customFormat="1" ht="17.25" customHeight="1"/>
    <row r="286" s="52" customFormat="1" ht="17.25" customHeight="1"/>
    <row r="287" s="52" customFormat="1" ht="17.25" customHeight="1"/>
    <row r="288" s="52" customFormat="1" ht="17.25" customHeight="1"/>
    <row r="289" s="52" customFormat="1" ht="17.25" customHeight="1"/>
    <row r="290" s="52" customFormat="1" ht="17.25" customHeight="1"/>
    <row r="291" s="52" customFormat="1" ht="17.25" customHeight="1"/>
    <row r="292" s="52" customFormat="1" ht="17.25" customHeight="1"/>
    <row r="293" s="52" customFormat="1" ht="17.25" customHeight="1"/>
    <row r="294" s="52" customFormat="1" ht="17.25" customHeight="1"/>
    <row r="295" s="52" customFormat="1" ht="17.25" customHeight="1"/>
    <row r="296" s="52" customFormat="1" ht="17.25" customHeight="1"/>
    <row r="297" s="52" customFormat="1" ht="17.25" customHeight="1"/>
    <row r="298" s="52" customFormat="1" ht="17.25" customHeight="1"/>
    <row r="299" s="52" customFormat="1" ht="17.25" customHeight="1"/>
    <row r="300" s="52" customFormat="1" ht="17.25" customHeight="1"/>
    <row r="301" s="52" customFormat="1" ht="17.25" customHeight="1"/>
    <row r="302" s="52" customFormat="1" ht="17.25" customHeight="1"/>
    <row r="303" s="52" customFormat="1" ht="17.25" customHeight="1"/>
    <row r="304" s="52" customFormat="1" ht="17.25" customHeight="1"/>
    <row r="305" s="52" customFormat="1" ht="17.25" customHeight="1"/>
    <row r="306" s="52" customFormat="1" ht="17.25" customHeight="1"/>
    <row r="307" s="52" customFormat="1" ht="17.25" customHeight="1"/>
    <row r="308" s="52" customFormat="1" ht="17.25" customHeight="1"/>
    <row r="309" s="52" customFormat="1" ht="17.25" customHeight="1"/>
    <row r="310" s="52" customFormat="1" ht="17.25" customHeight="1"/>
    <row r="311" s="52" customFormat="1" ht="17.25" customHeight="1"/>
    <row r="312" s="52" customFormat="1" ht="17.25" customHeight="1"/>
    <row r="313" s="52" customFormat="1" ht="17.25" customHeight="1"/>
    <row r="314" s="52" customFormat="1" ht="17.25" customHeight="1"/>
    <row r="315" s="52" customFormat="1" ht="17.25" customHeight="1"/>
    <row r="316" s="52" customFormat="1" ht="17.25" customHeight="1"/>
    <row r="317" s="52" customFormat="1" ht="17.25" customHeight="1"/>
    <row r="318" s="52" customFormat="1" ht="17.25" customHeight="1"/>
    <row r="319" s="52" customFormat="1" ht="17.25" customHeight="1"/>
    <row r="320" s="52" customFormat="1" ht="17.25" customHeight="1"/>
    <row r="321" s="52" customFormat="1" ht="17.25" customHeight="1"/>
    <row r="322" s="52" customFormat="1" ht="17.25" customHeight="1"/>
    <row r="323" s="52" customFormat="1" ht="17.25" customHeight="1"/>
    <row r="324" s="52" customFormat="1" ht="17.25" customHeight="1"/>
    <row r="325" s="52" customFormat="1" ht="17.25" customHeight="1"/>
    <row r="326" s="52" customFormat="1" ht="17.25" customHeight="1"/>
    <row r="327" s="52" customFormat="1" ht="17.25" customHeight="1"/>
    <row r="328" s="52" customFormat="1" ht="17.25" customHeight="1"/>
    <row r="329" s="52" customFormat="1" ht="17.25" customHeight="1"/>
    <row r="330" s="52" customFormat="1" ht="17.25" customHeight="1"/>
    <row r="331" s="52" customFormat="1" ht="17.25" customHeight="1"/>
    <row r="332" s="52" customFormat="1" ht="17.25" customHeight="1"/>
    <row r="333" s="52" customFormat="1" ht="17.25" customHeight="1"/>
    <row r="334" s="52" customFormat="1" ht="17.25" customHeight="1"/>
    <row r="335" s="52" customFormat="1" ht="17.25" customHeight="1"/>
    <row r="336" s="52" customFormat="1" ht="17.25" customHeight="1"/>
    <row r="337" s="52" customFormat="1" ht="17.25" customHeight="1"/>
    <row r="338" s="52" customFormat="1" ht="17.25" customHeight="1"/>
    <row r="339" s="52" customFormat="1" ht="17.25" customHeight="1"/>
    <row r="340" s="52" customFormat="1" ht="17.25" customHeight="1"/>
    <row r="341" s="52" customFormat="1" ht="17.25" customHeight="1"/>
    <row r="342" s="52" customFormat="1" ht="17.25" customHeight="1"/>
    <row r="343" s="52" customFormat="1" ht="17.25" customHeight="1"/>
    <row r="344" s="52" customFormat="1" ht="17.25" customHeight="1"/>
    <row r="345" s="52" customFormat="1" ht="17.25" customHeight="1"/>
    <row r="346" s="52" customFormat="1" ht="17.25" customHeight="1"/>
    <row r="347" s="52" customFormat="1" ht="17.25" customHeight="1"/>
    <row r="348" s="52" customFormat="1" ht="17.25" customHeight="1"/>
    <row r="349" s="52" customFormat="1" ht="17.25" customHeight="1"/>
    <row r="350" s="52" customFormat="1" ht="17.25" customHeight="1"/>
    <row r="351" s="52" customFormat="1" ht="17.25" customHeight="1"/>
    <row r="352" s="52" customFormat="1" ht="17.25" customHeight="1"/>
    <row r="353" s="52" customFormat="1" ht="17.25" customHeight="1"/>
    <row r="354" s="52" customFormat="1" ht="17.25" customHeight="1"/>
    <row r="355" s="52" customFormat="1" ht="17.25" customHeight="1"/>
    <row r="356" s="52" customFormat="1" ht="17.25" customHeight="1"/>
    <row r="357" s="52" customFormat="1" ht="17.25" customHeight="1"/>
    <row r="358" s="52" customFormat="1" ht="17.25" customHeight="1"/>
    <row r="359" s="52" customFormat="1" ht="17.25" customHeight="1"/>
    <row r="360" s="52" customFormat="1" ht="17.25" customHeight="1"/>
    <row r="361" s="52" customFormat="1" ht="17.25" customHeight="1"/>
    <row r="362" s="52" customFormat="1" ht="17.25" customHeight="1"/>
    <row r="363" s="52" customFormat="1" ht="17.25" customHeight="1"/>
    <row r="364" s="52" customFormat="1" ht="17.25" customHeight="1"/>
    <row r="365" s="52" customFormat="1" ht="17.25" customHeight="1"/>
    <row r="366" s="52" customFormat="1" ht="17.25" customHeight="1"/>
    <row r="367" s="52" customFormat="1" ht="17.25" customHeight="1"/>
    <row r="368" s="52" customFormat="1" ht="17.25" customHeight="1"/>
    <row r="369" s="52" customFormat="1" ht="17.25" customHeight="1"/>
    <row r="370" s="52" customFormat="1" ht="17.25" customHeight="1"/>
    <row r="371" s="52" customFormat="1" ht="17.25" customHeight="1"/>
    <row r="372" s="52" customFormat="1" ht="17.25" customHeight="1"/>
    <row r="373" s="52" customFormat="1" ht="17.25" customHeight="1"/>
    <row r="374" s="52" customFormat="1" ht="17.25" customHeight="1"/>
    <row r="375" s="52" customFormat="1" ht="17.25" customHeight="1"/>
    <row r="376" s="52" customFormat="1" ht="17.25" customHeight="1"/>
    <row r="377" s="52" customFormat="1" ht="17.25" customHeight="1"/>
    <row r="378" s="52" customFormat="1" ht="17.25" customHeight="1"/>
    <row r="379" s="52" customFormat="1" ht="17.25" customHeight="1"/>
    <row r="380" s="52" customFormat="1" ht="17.25" customHeight="1"/>
    <row r="381" s="52" customFormat="1" ht="17.25" customHeight="1"/>
    <row r="382" s="52" customFormat="1" ht="17.25" customHeight="1"/>
    <row r="383" s="52" customFormat="1" ht="17.25" customHeight="1"/>
    <row r="384" s="52" customFormat="1" ht="17.25" customHeight="1"/>
    <row r="385" s="52" customFormat="1" ht="17.25" customHeight="1"/>
    <row r="386" s="52" customFormat="1" ht="17.25" customHeight="1"/>
    <row r="387" s="52" customFormat="1" ht="17.25" customHeight="1"/>
    <row r="388" s="52" customFormat="1" ht="17.25" customHeight="1"/>
    <row r="389" s="52" customFormat="1" ht="17.25" customHeight="1"/>
    <row r="390" s="52" customFormat="1" ht="17.25" customHeight="1"/>
    <row r="391" s="52" customFormat="1" ht="17.25" customHeight="1"/>
    <row r="392" s="52" customFormat="1" ht="17.25" customHeight="1"/>
    <row r="393" s="52" customFormat="1" ht="17.25" customHeight="1"/>
    <row r="394" s="52" customFormat="1" ht="17.25" customHeight="1"/>
    <row r="395" s="52" customFormat="1" ht="17.25" customHeight="1"/>
    <row r="396" s="52" customFormat="1" ht="17.25" customHeight="1"/>
    <row r="397" s="52" customFormat="1" ht="17.25" customHeight="1"/>
    <row r="398" s="52" customFormat="1" ht="17.25" customHeight="1"/>
    <row r="399" s="52" customFormat="1" ht="17.25" customHeight="1"/>
    <row r="400" s="52" customFormat="1" ht="17.25" customHeight="1"/>
    <row r="401" s="52" customFormat="1" ht="17.25" customHeight="1"/>
    <row r="402" s="52" customFormat="1" ht="17.25" customHeight="1"/>
    <row r="403" s="52" customFormat="1" ht="17.25" customHeight="1"/>
    <row r="404" s="52" customFormat="1" ht="17.25" customHeight="1"/>
    <row r="405" s="52" customFormat="1" ht="17.25" customHeight="1"/>
    <row r="406" s="52" customFormat="1" ht="17.25" customHeight="1"/>
    <row r="407" s="52" customFormat="1" ht="17.25" customHeight="1"/>
    <row r="408" s="52" customFormat="1" ht="17.25" customHeight="1"/>
    <row r="409" s="52" customFormat="1" ht="17.25" customHeight="1"/>
    <row r="410" s="52" customFormat="1" ht="17.25" customHeight="1"/>
    <row r="411" s="52" customFormat="1" ht="17.25" customHeight="1"/>
    <row r="412" s="52" customFormat="1" ht="17.25" customHeight="1"/>
    <row r="413" s="52" customFormat="1" ht="17.25" customHeight="1"/>
    <row r="414" s="52" customFormat="1" ht="17.25" customHeight="1"/>
    <row r="415" s="52" customFormat="1"/>
    <row r="416" s="52" customFormat="1"/>
    <row r="417" s="52" customFormat="1"/>
    <row r="418" s="52" customFormat="1"/>
    <row r="419" s="52" customFormat="1"/>
    <row r="420" s="52" customFormat="1"/>
    <row r="421" s="52" customFormat="1"/>
    <row r="422" s="52" customFormat="1"/>
    <row r="423" s="52" customFormat="1"/>
    <row r="424" s="52" customFormat="1"/>
    <row r="425" s="52" customFormat="1"/>
    <row r="426" s="52" customFormat="1"/>
    <row r="427" s="52" customFormat="1"/>
    <row r="428" s="52" customFormat="1"/>
    <row r="429" s="52" customFormat="1"/>
    <row r="430" s="52" customFormat="1"/>
    <row r="431" s="52" customFormat="1"/>
    <row r="432" s="52" customFormat="1"/>
    <row r="433" s="52" customFormat="1"/>
    <row r="434" s="52" customFormat="1"/>
    <row r="435" s="52" customFormat="1"/>
    <row r="436" s="52" customFormat="1"/>
    <row r="437" s="52" customFormat="1"/>
    <row r="438" s="52" customFormat="1"/>
    <row r="439" s="52" customFormat="1"/>
    <row r="440" s="52" customFormat="1"/>
    <row r="441" s="52" customFormat="1"/>
    <row r="442" s="52" customFormat="1"/>
    <row r="443" s="52" customFormat="1"/>
    <row r="444" s="52" customFormat="1"/>
    <row r="445" s="52" customFormat="1"/>
    <row r="446" s="52" customFormat="1"/>
    <row r="447" s="52" customFormat="1"/>
    <row r="448" s="52" customFormat="1"/>
    <row r="449" s="52" customFormat="1"/>
    <row r="450" s="52" customFormat="1"/>
    <row r="451" s="52" customFormat="1"/>
    <row r="452" s="52" customFormat="1"/>
    <row r="453" s="52" customFormat="1"/>
    <row r="454" s="52" customFormat="1"/>
    <row r="455" s="52" customFormat="1"/>
    <row r="456" s="52" customFormat="1"/>
    <row r="457" s="52" customFormat="1"/>
    <row r="458" s="52" customFormat="1"/>
    <row r="459" s="52" customFormat="1"/>
    <row r="460" s="52" customFormat="1"/>
    <row r="461" s="52" customFormat="1"/>
    <row r="462" s="52" customFormat="1"/>
    <row r="463" s="52" customFormat="1"/>
    <row r="464" s="52" customFormat="1"/>
    <row r="465" s="52" customFormat="1"/>
    <row r="466" s="52" customFormat="1"/>
    <row r="467" s="52" customFormat="1"/>
    <row r="468" s="52" customFormat="1"/>
    <row r="469" s="52" customFormat="1"/>
    <row r="470" s="52" customFormat="1"/>
    <row r="471" s="52" customFormat="1"/>
    <row r="472" s="52" customFormat="1"/>
    <row r="473" s="52" customFormat="1"/>
    <row r="474" s="52" customFormat="1"/>
    <row r="475" s="52" customFormat="1"/>
    <row r="476" s="52" customFormat="1"/>
    <row r="477" s="52" customFormat="1"/>
    <row r="478" s="52" customFormat="1"/>
    <row r="479" s="52" customFormat="1"/>
    <row r="480" s="52" customFormat="1"/>
    <row r="481" s="52" customFormat="1"/>
    <row r="482" s="52" customFormat="1"/>
    <row r="483" s="52" customFormat="1"/>
    <row r="484" s="52" customFormat="1"/>
    <row r="485" s="52" customFormat="1"/>
    <row r="486" s="52" customFormat="1"/>
    <row r="487" s="52" customFormat="1"/>
    <row r="488" s="52" customFormat="1"/>
    <row r="489" s="52" customFormat="1"/>
    <row r="490" s="52" customFormat="1"/>
    <row r="491" s="52" customFormat="1"/>
    <row r="492" s="52" customFormat="1"/>
    <row r="493" s="52" customFormat="1"/>
    <row r="494" s="52" customFormat="1"/>
    <row r="495" s="52" customFormat="1"/>
    <row r="496" s="52" customFormat="1"/>
    <row r="497" s="52" customFormat="1"/>
    <row r="498" s="52" customFormat="1"/>
    <row r="499" s="52" customFormat="1"/>
    <row r="500" s="52" customFormat="1"/>
    <row r="501" s="52" customFormat="1"/>
    <row r="502" s="52" customFormat="1"/>
    <row r="503" s="52" customFormat="1"/>
    <row r="504" s="52" customFormat="1"/>
    <row r="505" s="52" customFormat="1"/>
    <row r="506" s="52" customFormat="1"/>
    <row r="507" s="52" customFormat="1"/>
    <row r="508" s="52" customFormat="1"/>
    <row r="509" s="52" customFormat="1"/>
    <row r="510" s="52" customFormat="1"/>
    <row r="511" s="52" customFormat="1"/>
    <row r="512" s="52" customFormat="1"/>
    <row r="513" s="52" customFormat="1"/>
    <row r="514" s="52" customFormat="1"/>
    <row r="515" s="52" customFormat="1"/>
    <row r="516" s="52" customFormat="1"/>
    <row r="517" s="52" customFormat="1"/>
    <row r="518" s="52" customFormat="1"/>
    <row r="519" s="52" customFormat="1"/>
    <row r="520" s="52" customFormat="1"/>
    <row r="521" s="52" customFormat="1"/>
    <row r="522" s="52" customFormat="1"/>
    <row r="523" s="52" customFormat="1"/>
    <row r="524" s="52" customFormat="1"/>
    <row r="525" s="52" customFormat="1"/>
    <row r="526" s="52" customFormat="1"/>
    <row r="527" s="52" customFormat="1"/>
    <row r="528" s="52" customFormat="1"/>
    <row r="529" s="52" customFormat="1"/>
    <row r="530" s="52" customFormat="1"/>
    <row r="531" s="52" customFormat="1"/>
    <row r="532" s="52" customFormat="1"/>
    <row r="533" s="52" customFormat="1"/>
    <row r="534" s="52" customFormat="1"/>
    <row r="535" s="52" customFormat="1"/>
    <row r="536" s="52" customFormat="1"/>
    <row r="537" s="52" customFormat="1"/>
    <row r="538" s="52" customFormat="1"/>
    <row r="539" s="52" customFormat="1"/>
    <row r="540" s="52" customFormat="1"/>
    <row r="541" s="52" customFormat="1"/>
    <row r="542" s="52" customFormat="1"/>
    <row r="543" s="52" customFormat="1"/>
    <row r="544" s="52" customFormat="1"/>
    <row r="545" s="52" customFormat="1"/>
    <row r="546" s="52" customFormat="1"/>
    <row r="547" s="52" customFormat="1"/>
    <row r="548" s="52" customFormat="1"/>
    <row r="549" s="52" customFormat="1"/>
    <row r="550" s="52" customFormat="1"/>
    <row r="551" s="52" customFormat="1"/>
    <row r="552" s="52" customFormat="1"/>
    <row r="553" s="52" customFormat="1"/>
    <row r="554" s="52" customFormat="1"/>
    <row r="555" s="52" customFormat="1"/>
    <row r="556" s="52" customFormat="1"/>
    <row r="557" s="52" customFormat="1"/>
    <row r="558" s="52" customFormat="1"/>
    <row r="559" s="52" customFormat="1"/>
    <row r="560" s="52" customFormat="1"/>
    <row r="561" s="52" customFormat="1"/>
    <row r="562" s="52" customFormat="1"/>
    <row r="563" s="52" customFormat="1"/>
    <row r="564" s="52" customFormat="1"/>
    <row r="565" s="52" customFormat="1"/>
    <row r="566" s="52" customFormat="1"/>
    <row r="567" s="52" customFormat="1"/>
    <row r="568" s="52" customFormat="1"/>
    <row r="569" s="52" customFormat="1"/>
    <row r="570" s="52" customFormat="1"/>
    <row r="571" s="52" customFormat="1"/>
    <row r="572" s="52" customFormat="1"/>
    <row r="573" s="52" customFormat="1"/>
    <row r="574" s="52" customFormat="1"/>
    <row r="575" s="52" customFormat="1"/>
    <row r="576" s="52" customFormat="1"/>
    <row r="577" s="52" customFormat="1"/>
    <row r="578" s="52" customFormat="1"/>
    <row r="579" s="52" customFormat="1"/>
    <row r="580" s="52" customFormat="1"/>
    <row r="581" s="52" customFormat="1"/>
    <row r="582" s="52" customFormat="1"/>
    <row r="583" s="52" customFormat="1"/>
    <row r="584" s="52" customFormat="1"/>
    <row r="585" s="52" customFormat="1"/>
    <row r="586" s="52" customFormat="1"/>
    <row r="587" s="52" customFormat="1"/>
    <row r="588" s="52" customFormat="1"/>
    <row r="589" s="52" customFormat="1"/>
    <row r="590" s="52" customFormat="1"/>
    <row r="591" s="52" customFormat="1"/>
    <row r="592" s="52" customFormat="1"/>
    <row r="593" s="52" customFormat="1"/>
    <row r="594" s="52" customFormat="1"/>
    <row r="595" s="52" customFormat="1"/>
    <row r="596" s="52" customFormat="1"/>
    <row r="597" s="52" customFormat="1"/>
    <row r="598" s="52" customFormat="1"/>
    <row r="599" s="52" customFormat="1"/>
    <row r="600" s="52" customFormat="1"/>
    <row r="601" s="52" customFormat="1"/>
    <row r="602" s="52" customFormat="1"/>
    <row r="603" s="52" customFormat="1"/>
    <row r="604" s="52" customFormat="1"/>
    <row r="605" s="52" customFormat="1"/>
    <row r="606" s="52" customFormat="1"/>
    <row r="607" s="52" customFormat="1"/>
    <row r="608" s="52" customFormat="1"/>
    <row r="609" s="52" customFormat="1"/>
    <row r="610" s="52" customFormat="1"/>
    <row r="611" s="52" customFormat="1"/>
    <row r="612" s="52" customFormat="1"/>
    <row r="613" s="52" customFormat="1"/>
    <row r="614" s="52" customFormat="1"/>
    <row r="615" s="52" customFormat="1"/>
    <row r="616" s="52" customFormat="1"/>
    <row r="617" s="52" customFormat="1"/>
    <row r="618" s="52" customFormat="1"/>
    <row r="619" s="52" customFormat="1"/>
    <row r="620" s="52" customFormat="1"/>
    <row r="621" s="52" customFormat="1"/>
    <row r="622" s="52" customFormat="1"/>
    <row r="623" s="52" customFormat="1"/>
    <row r="624" s="52" customFormat="1"/>
    <row r="625" s="52" customFormat="1"/>
    <row r="626" s="52" customFormat="1"/>
    <row r="627" s="52" customFormat="1"/>
    <row r="628" s="52" customFormat="1"/>
    <row r="629" s="52" customFormat="1"/>
    <row r="630" s="52" customFormat="1"/>
    <row r="631" s="52" customFormat="1"/>
    <row r="632" s="52" customFormat="1"/>
    <row r="633" s="52" customFormat="1"/>
    <row r="634" s="52" customFormat="1"/>
    <row r="635" s="52" customFormat="1"/>
    <row r="636" s="52" customFormat="1"/>
    <row r="637" s="52" customFormat="1"/>
    <row r="638" s="52" customFormat="1"/>
    <row r="639" s="52" customFormat="1"/>
    <row r="640" s="52" customFormat="1"/>
    <row r="641" spans="9:9" s="52" customFormat="1"/>
    <row r="642" spans="9:9" s="52" customFormat="1"/>
    <row r="643" spans="9:9" s="52" customFormat="1"/>
    <row r="644" spans="9:9" s="52" customFormat="1"/>
    <row r="645" spans="9:9" s="52" customFormat="1"/>
    <row r="646" spans="9:9" s="52" customFormat="1"/>
    <row r="647" spans="9:9" s="52" customFormat="1"/>
    <row r="648" spans="9:9" s="52" customFormat="1"/>
    <row r="649" spans="9:9" s="52" customFormat="1"/>
    <row r="650" spans="9:9">
      <c r="I650" s="48"/>
    </row>
    <row r="651" spans="9:9">
      <c r="I651" s="48"/>
    </row>
    <row r="652" spans="9:9">
      <c r="I652" s="48"/>
    </row>
    <row r="653" spans="9:9">
      <c r="I653" s="48"/>
    </row>
    <row r="654" spans="9:9">
      <c r="I654" s="48"/>
    </row>
    <row r="655" spans="9:9">
      <c r="I655" s="48"/>
    </row>
    <row r="656" spans="9:9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G9:H9"/>
    <mergeCell ref="D10:E10"/>
    <mergeCell ref="G10:H10"/>
    <mergeCell ref="D11:E11"/>
    <mergeCell ref="G11:H11"/>
    <mergeCell ref="D12:E12"/>
    <mergeCell ref="G12:H12"/>
    <mergeCell ref="A4:B4"/>
    <mergeCell ref="A5:B5"/>
    <mergeCell ref="A6:B6"/>
    <mergeCell ref="A7:B7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scale="94" orientation="portrait" r:id="rId1"/>
  <headerFooter alignWithMargins="0"/>
  <rowBreaks count="1" manualBreakCount="1">
    <brk id="30" max="8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4B538-7C9E-426D-93C9-98D31D837F09}">
  <sheetPr codeName="shW_LongTEST1">
    <tabColor rgb="FF00B050"/>
  </sheetPr>
  <dimension ref="A1:I587"/>
  <sheetViews>
    <sheetView showGridLines="0" tabSelected="1" view="pageBreakPreview" zoomScale="85" zoomScaleNormal="100" zoomScaleSheetLayoutView="85" workbookViewId="0">
      <selection activeCell="A15" sqref="A15"/>
    </sheetView>
  </sheetViews>
  <sheetFormatPr defaultColWidth="9" defaultRowHeight="12"/>
  <cols>
    <col min="1" max="1" width="13.875" style="48" customWidth="1"/>
    <col min="2" max="2" width="10.875" style="48" customWidth="1"/>
    <col min="3" max="3" width="11.25" style="48" customWidth="1"/>
    <col min="4" max="4" width="0.125" style="48" customWidth="1"/>
    <col min="5" max="5" width="11.125" style="48" customWidth="1"/>
    <col min="6" max="6" width="13.125" style="48" customWidth="1"/>
    <col min="7" max="7" width="8.25" style="537" customWidth="1"/>
    <col min="8" max="8" width="8.625" style="537" customWidth="1"/>
    <col min="9" max="9" width="7.625" style="538" customWidth="1"/>
    <col min="10" max="16384" width="9" style="48"/>
  </cols>
  <sheetData>
    <row r="1" spans="1:9" s="52" customFormat="1" ht="31.5" customHeight="1">
      <c r="A1" s="498" t="s">
        <v>181</v>
      </c>
      <c r="B1" s="499"/>
      <c r="C1" s="499"/>
      <c r="D1" s="499"/>
      <c r="E1" s="499"/>
      <c r="F1" s="499"/>
      <c r="G1" s="526"/>
      <c r="H1" s="526"/>
      <c r="I1" s="526"/>
    </row>
    <row r="2" spans="1:9" s="52" customFormat="1" ht="21.6" customHeight="1">
      <c r="A2" s="500" t="s">
        <v>267</v>
      </c>
      <c r="B2" s="501" t="s">
        <v>264</v>
      </c>
      <c r="C2" s="502"/>
      <c r="D2" s="502"/>
      <c r="E2" s="502"/>
      <c r="F2" s="502"/>
      <c r="G2" s="527"/>
      <c r="H2" s="527"/>
      <c r="I2" s="528"/>
    </row>
    <row r="3" spans="1:9" s="52" customFormat="1" ht="21.6" customHeight="1">
      <c r="A3" s="500" t="s">
        <v>268</v>
      </c>
      <c r="B3" s="501" t="s">
        <v>265</v>
      </c>
      <c r="C3" s="502"/>
      <c r="D3" s="502"/>
      <c r="E3" s="503"/>
      <c r="F3" s="502"/>
      <c r="G3" s="529" t="s">
        <v>257</v>
      </c>
      <c r="H3" s="529"/>
      <c r="I3" s="530"/>
    </row>
    <row r="4" spans="1:9" s="52" customFormat="1" ht="21.6" customHeight="1">
      <c r="A4" s="500" t="s">
        <v>269</v>
      </c>
      <c r="B4" s="501" t="s">
        <v>266</v>
      </c>
      <c r="C4" s="504"/>
      <c r="D4" s="504"/>
      <c r="E4" s="502"/>
      <c r="F4" s="502"/>
      <c r="G4" s="527"/>
      <c r="H4" s="527"/>
      <c r="I4" s="528"/>
    </row>
    <row r="5" spans="1:9" s="52" customFormat="1" ht="21.6" customHeight="1">
      <c r="A5" s="500" t="s">
        <v>270</v>
      </c>
      <c r="B5" s="505" t="s">
        <v>223</v>
      </c>
      <c r="C5" s="506"/>
      <c r="D5" s="502"/>
      <c r="E5" s="507" t="s">
        <v>169</v>
      </c>
      <c r="F5" s="508">
        <v>0</v>
      </c>
      <c r="G5" s="531"/>
      <c r="H5" s="531"/>
      <c r="I5" s="531"/>
    </row>
    <row r="6" spans="1:9" s="52" customFormat="1" ht="21.6" customHeight="1">
      <c r="A6" s="500" t="s">
        <v>164</v>
      </c>
      <c r="B6" s="509">
        <v>5</v>
      </c>
      <c r="C6" s="509"/>
      <c r="D6" s="510"/>
      <c r="E6" s="507" t="s">
        <v>165</v>
      </c>
      <c r="F6" s="508">
        <v>0</v>
      </c>
      <c r="G6" s="531"/>
      <c r="H6" s="531"/>
      <c r="I6" s="531"/>
    </row>
    <row r="7" spans="1:9" s="52" customFormat="1" ht="21.6" customHeight="1">
      <c r="A7" s="500" t="s">
        <v>166</v>
      </c>
      <c r="B7" s="511" t="s">
        <v>271</v>
      </c>
      <c r="C7" s="512">
        <v>200</v>
      </c>
      <c r="D7" s="513"/>
      <c r="E7" s="514" t="s">
        <v>168</v>
      </c>
      <c r="F7" s="515">
        <v>500</v>
      </c>
      <c r="G7" s="527"/>
      <c r="H7" s="527"/>
      <c r="I7" s="528"/>
    </row>
    <row r="8" spans="1:9" s="52" customFormat="1" ht="21.6" customHeight="1">
      <c r="A8" s="500" t="s">
        <v>169</v>
      </c>
      <c r="B8" s="516" t="s">
        <v>188</v>
      </c>
      <c r="C8" s="517">
        <v>11.75</v>
      </c>
      <c r="D8" s="513"/>
      <c r="E8" s="514" t="s">
        <v>189</v>
      </c>
      <c r="F8" s="518">
        <v>25.52</v>
      </c>
      <c r="G8" s="531">
        <v>54</v>
      </c>
      <c r="H8" s="531"/>
      <c r="I8" s="532"/>
    </row>
    <row r="9" spans="1:9" s="52" customFormat="1" ht="21.6" customHeight="1">
      <c r="A9" s="519" t="s">
        <v>171</v>
      </c>
      <c r="B9" s="516" t="s">
        <v>190</v>
      </c>
      <c r="C9" s="520" t="s">
        <v>173</v>
      </c>
      <c r="D9" s="520"/>
      <c r="E9" s="519" t="s">
        <v>174</v>
      </c>
      <c r="F9" s="519" t="s">
        <v>175</v>
      </c>
      <c r="G9" s="533" t="s">
        <v>272</v>
      </c>
      <c r="H9" s="533" t="s">
        <v>273</v>
      </c>
      <c r="I9" s="533" t="s">
        <v>274</v>
      </c>
    </row>
    <row r="10" spans="1:9" s="52" customFormat="1" ht="21" customHeight="1">
      <c r="A10" s="522">
        <v>54</v>
      </c>
      <c r="B10" s="523">
        <v>45299.4375</v>
      </c>
      <c r="C10" s="524">
        <v>1</v>
      </c>
      <c r="D10" s="513">
        <v>6.9444444444444447E-4</v>
      </c>
      <c r="E10" s="525">
        <v>13.101459857765381</v>
      </c>
      <c r="F10" s="525">
        <v>1.3514598577653809</v>
      </c>
      <c r="G10" s="534"/>
      <c r="H10" s="534"/>
      <c r="I10" s="534"/>
    </row>
    <row r="11" spans="1:9" s="52" customFormat="1" ht="21" customHeight="1">
      <c r="A11" s="521"/>
      <c r="B11" s="523"/>
      <c r="C11" s="524">
        <v>2</v>
      </c>
      <c r="D11" s="513">
        <v>1.3888888888888889E-3</v>
      </c>
      <c r="E11" s="525">
        <v>14.252919715530762</v>
      </c>
      <c r="F11" s="525">
        <v>2.5029197155307621</v>
      </c>
      <c r="G11" s="534"/>
      <c r="H11" s="534"/>
      <c r="I11" s="534"/>
    </row>
    <row r="12" spans="1:9" s="52" customFormat="1" ht="21" customHeight="1">
      <c r="A12" s="521"/>
      <c r="B12" s="523"/>
      <c r="C12" s="524">
        <v>3</v>
      </c>
      <c r="D12" s="513">
        <v>2.0833333333333333E-3</v>
      </c>
      <c r="E12" s="525">
        <v>15.018641399117225</v>
      </c>
      <c r="F12" s="525">
        <v>3.2686413991172252</v>
      </c>
      <c r="G12" s="534"/>
      <c r="H12" s="534"/>
      <c r="I12" s="534"/>
    </row>
    <row r="13" spans="1:9" s="52" customFormat="1" ht="21" customHeight="1">
      <c r="A13" s="521"/>
      <c r="B13" s="523"/>
      <c r="C13" s="524">
        <v>4</v>
      </c>
      <c r="D13" s="513">
        <v>2.7777777777777779E-3</v>
      </c>
      <c r="E13" s="525">
        <v>15.561929579654468</v>
      </c>
      <c r="F13" s="525">
        <v>3.8119295796544677</v>
      </c>
      <c r="G13" s="534"/>
      <c r="H13" s="534"/>
      <c r="I13" s="534"/>
    </row>
    <row r="14" spans="1:9" s="52" customFormat="1" ht="21" customHeight="1">
      <c r="A14" s="521"/>
      <c r="B14" s="523"/>
      <c r="C14" s="524">
        <v>5</v>
      </c>
      <c r="D14" s="513">
        <v>3.472222222222222E-3</v>
      </c>
      <c r="E14" s="525">
        <v>15.983336631400578</v>
      </c>
      <c r="F14" s="525">
        <v>4.2333366314005776</v>
      </c>
      <c r="G14" s="534">
        <v>15.299999999999999</v>
      </c>
      <c r="H14" s="534">
        <v>199</v>
      </c>
      <c r="I14" s="534">
        <v>7.98</v>
      </c>
    </row>
    <row r="15" spans="1:9" s="52" customFormat="1" ht="21" customHeight="1">
      <c r="A15" s="521"/>
      <c r="B15" s="523"/>
      <c r="C15" s="524">
        <v>10</v>
      </c>
      <c r="D15" s="513">
        <v>6.9444444444444441E-3</v>
      </c>
      <c r="E15" s="525">
        <v>17.292346495524285</v>
      </c>
      <c r="F15" s="525">
        <v>5.5423464955242849</v>
      </c>
      <c r="G15" s="534"/>
      <c r="H15" s="534"/>
      <c r="I15" s="534"/>
    </row>
    <row r="16" spans="1:9" s="52" customFormat="1" ht="21" customHeight="1">
      <c r="A16" s="521"/>
      <c r="B16" s="523"/>
      <c r="C16" s="524">
        <v>15</v>
      </c>
      <c r="D16" s="513">
        <v>1.0416666666666666E-2</v>
      </c>
      <c r="E16" s="525">
        <v>18.058068179110748</v>
      </c>
      <c r="F16" s="525">
        <v>6.308068179110748</v>
      </c>
      <c r="G16" s="534"/>
      <c r="H16" s="534"/>
      <c r="I16" s="534"/>
    </row>
    <row r="17" spans="1:9" s="52" customFormat="1" ht="21" customHeight="1">
      <c r="A17" s="521"/>
      <c r="B17" s="523"/>
      <c r="C17" s="524">
        <v>20</v>
      </c>
      <c r="D17" s="513">
        <v>1.3888888888888888E-2</v>
      </c>
      <c r="E17" s="525">
        <v>18.601356359647991</v>
      </c>
      <c r="F17" s="525">
        <v>6.8513563596479905</v>
      </c>
      <c r="G17" s="534"/>
      <c r="H17" s="534"/>
      <c r="I17" s="534"/>
    </row>
    <row r="18" spans="1:9" s="52" customFormat="1" ht="21" customHeight="1">
      <c r="A18" s="521"/>
      <c r="B18" s="523"/>
      <c r="C18" s="524">
        <v>25</v>
      </c>
      <c r="D18" s="513">
        <v>1.7361111111111112E-2</v>
      </c>
      <c r="E18" s="525">
        <v>19.022763411394099</v>
      </c>
      <c r="F18" s="525">
        <v>7.2727634113940987</v>
      </c>
      <c r="G18" s="534"/>
      <c r="H18" s="534"/>
      <c r="I18" s="534"/>
    </row>
    <row r="19" spans="1:9" s="52" customFormat="1" ht="21" customHeight="1">
      <c r="A19" s="521"/>
      <c r="B19" s="523"/>
      <c r="C19" s="524">
        <v>30</v>
      </c>
      <c r="D19" s="513">
        <v>2.0833333333333332E-2</v>
      </c>
      <c r="E19" s="525">
        <v>19.367078043234454</v>
      </c>
      <c r="F19" s="525">
        <v>7.6170780432344536</v>
      </c>
      <c r="G19" s="534">
        <v>15.299999999999999</v>
      </c>
      <c r="H19" s="534">
        <v>214</v>
      </c>
      <c r="I19" s="534">
        <v>7.79</v>
      </c>
    </row>
    <row r="20" spans="1:9" s="52" customFormat="1" ht="21" customHeight="1">
      <c r="A20" s="521"/>
      <c r="B20" s="523"/>
      <c r="C20" s="524">
        <v>35</v>
      </c>
      <c r="D20" s="513">
        <v>2.4305555555555556E-2</v>
      </c>
      <c r="E20" s="525">
        <v>19.658191916470219</v>
      </c>
      <c r="F20" s="525">
        <v>7.9081919164702192</v>
      </c>
      <c r="G20" s="534"/>
      <c r="H20" s="534"/>
      <c r="I20" s="534"/>
    </row>
    <row r="21" spans="1:9" s="52" customFormat="1" ht="21" customHeight="1">
      <c r="A21" s="521"/>
      <c r="B21" s="523"/>
      <c r="C21" s="524">
        <v>40</v>
      </c>
      <c r="D21" s="513">
        <v>2.7777777777777776E-2</v>
      </c>
      <c r="E21" s="525">
        <v>19.910366223771696</v>
      </c>
      <c r="F21" s="525">
        <v>8.1603662237716961</v>
      </c>
      <c r="G21" s="534"/>
      <c r="H21" s="534"/>
      <c r="I21" s="534"/>
    </row>
    <row r="22" spans="1:9" s="52" customFormat="1" ht="21" customHeight="1">
      <c r="A22" s="521"/>
      <c r="B22" s="523"/>
      <c r="C22" s="524">
        <v>45</v>
      </c>
      <c r="D22" s="513">
        <v>3.125E-2</v>
      </c>
      <c r="E22" s="525">
        <v>20.13279972682092</v>
      </c>
      <c r="F22" s="525">
        <v>8.3827997268209202</v>
      </c>
      <c r="G22" s="534"/>
      <c r="H22" s="534"/>
      <c r="I22" s="534"/>
    </row>
    <row r="23" spans="1:9" s="52" customFormat="1" ht="21" customHeight="1">
      <c r="A23" s="521"/>
      <c r="B23" s="523"/>
      <c r="C23" s="524">
        <v>50</v>
      </c>
      <c r="D23" s="513">
        <v>3.4722222222222224E-2</v>
      </c>
      <c r="E23" s="525">
        <v>20.331773275517804</v>
      </c>
      <c r="F23" s="525">
        <v>8.5817732755178042</v>
      </c>
      <c r="G23" s="534"/>
      <c r="H23" s="534"/>
      <c r="I23" s="534"/>
    </row>
    <row r="24" spans="1:9" s="52" customFormat="1" ht="21" customHeight="1">
      <c r="A24" s="521"/>
      <c r="B24" s="523"/>
      <c r="C24" s="524">
        <v>55</v>
      </c>
      <c r="D24" s="513">
        <v>3.8194444444444448E-2</v>
      </c>
      <c r="E24" s="525">
        <v>20.511766744458239</v>
      </c>
      <c r="F24" s="525">
        <v>8.7617667444582388</v>
      </c>
      <c r="G24" s="534"/>
      <c r="H24" s="534"/>
      <c r="I24" s="534"/>
    </row>
    <row r="25" spans="1:9" s="52" customFormat="1" ht="21" customHeight="1">
      <c r="A25" s="521"/>
      <c r="B25" s="523">
        <v>45299.479166666664</v>
      </c>
      <c r="C25" s="524">
        <v>60</v>
      </c>
      <c r="D25" s="513">
        <v>4.1666666666666664E-2</v>
      </c>
      <c r="E25" s="525">
        <v>20.676087907358159</v>
      </c>
      <c r="F25" s="525">
        <v>8.9260879073581592</v>
      </c>
      <c r="G25" s="534">
        <v>15.5</v>
      </c>
      <c r="H25" s="534">
        <v>210</v>
      </c>
      <c r="I25" s="534">
        <v>8.01</v>
      </c>
    </row>
    <row r="26" spans="1:9" s="52" customFormat="1" ht="21" customHeight="1">
      <c r="A26" s="521"/>
      <c r="B26" s="523"/>
      <c r="C26" s="524">
        <v>75</v>
      </c>
      <c r="D26" s="513">
        <v>5.2083333333333336E-2</v>
      </c>
      <c r="E26" s="525">
        <v>21.097494959104271</v>
      </c>
      <c r="F26" s="525">
        <v>9.3474949591042709</v>
      </c>
      <c r="G26" s="534"/>
      <c r="H26" s="534"/>
      <c r="I26" s="534"/>
    </row>
    <row r="27" spans="1:9" s="52" customFormat="1" ht="21" customHeight="1">
      <c r="A27" s="521"/>
      <c r="B27" s="523"/>
      <c r="C27" s="524">
        <v>90</v>
      </c>
      <c r="D27" s="513">
        <v>6.25E-2</v>
      </c>
      <c r="E27" s="525">
        <v>21.441809590944626</v>
      </c>
      <c r="F27" s="525">
        <v>9.6918095909446258</v>
      </c>
      <c r="G27" s="534"/>
      <c r="H27" s="534"/>
      <c r="I27" s="534"/>
    </row>
    <row r="28" spans="1:9" s="52" customFormat="1" ht="21" customHeight="1">
      <c r="A28" s="521"/>
      <c r="B28" s="523"/>
      <c r="C28" s="524">
        <v>105</v>
      </c>
      <c r="D28" s="513">
        <v>7.2916666666666671E-2</v>
      </c>
      <c r="E28" s="525">
        <v>21.732923464180391</v>
      </c>
      <c r="F28" s="525">
        <v>9.9829234641803914</v>
      </c>
      <c r="G28" s="534"/>
      <c r="H28" s="534"/>
      <c r="I28" s="534"/>
    </row>
    <row r="29" spans="1:9" s="52" customFormat="1" ht="21" customHeight="1">
      <c r="A29" s="521"/>
      <c r="B29" s="523"/>
      <c r="C29" s="524">
        <v>120</v>
      </c>
      <c r="D29" s="513">
        <v>8.3333333333333329E-2</v>
      </c>
      <c r="E29" s="525">
        <v>21.985097771481868</v>
      </c>
      <c r="F29" s="525">
        <v>10.235097771481868</v>
      </c>
      <c r="G29" s="534">
        <v>15.5</v>
      </c>
      <c r="H29" s="534">
        <v>207</v>
      </c>
      <c r="I29" s="534">
        <v>7.79</v>
      </c>
    </row>
    <row r="30" spans="1:9" s="52" customFormat="1" ht="21" customHeight="1">
      <c r="A30" s="521" t="s">
        <v>4</v>
      </c>
      <c r="B30" s="523" t="s">
        <v>4</v>
      </c>
      <c r="C30" s="524">
        <v>140</v>
      </c>
      <c r="D30" s="513">
        <v>9.7222222222222224E-2</v>
      </c>
      <c r="E30" s="525">
        <v>22.276211644717634</v>
      </c>
      <c r="F30" s="525">
        <v>10.526211644717634</v>
      </c>
      <c r="G30" s="534"/>
      <c r="H30" s="534"/>
      <c r="I30" s="534"/>
    </row>
    <row r="31" spans="1:9" s="52" customFormat="1" ht="21" customHeight="1">
      <c r="A31" s="521"/>
      <c r="B31" s="523"/>
      <c r="C31" s="524">
        <v>160</v>
      </c>
      <c r="D31" s="513">
        <v>0.1111111111111111</v>
      </c>
      <c r="E31" s="525">
        <v>22.528385952019111</v>
      </c>
      <c r="F31" s="525">
        <v>10.778385952019111</v>
      </c>
      <c r="G31" s="534"/>
      <c r="H31" s="534"/>
      <c r="I31" s="534"/>
    </row>
    <row r="32" spans="1:9" s="52" customFormat="1" ht="21" customHeight="1">
      <c r="A32" s="521"/>
      <c r="B32" s="523"/>
      <c r="C32" s="524">
        <v>180</v>
      </c>
      <c r="D32" s="513">
        <v>0.125</v>
      </c>
      <c r="E32" s="525">
        <v>22.750819455068331</v>
      </c>
      <c r="F32" s="525">
        <v>11.000819455068331</v>
      </c>
      <c r="G32" s="534"/>
      <c r="H32" s="534"/>
      <c r="I32" s="534"/>
    </row>
    <row r="33" spans="1:9" s="52" customFormat="1" ht="21" customHeight="1">
      <c r="A33" s="521"/>
      <c r="B33" s="523">
        <v>45299.604166666664</v>
      </c>
      <c r="C33" s="524">
        <v>240</v>
      </c>
      <c r="D33" s="513">
        <v>0.16666666666666666</v>
      </c>
      <c r="E33" s="525">
        <v>23.294107635605574</v>
      </c>
      <c r="F33" s="525">
        <v>11.544107635605574</v>
      </c>
      <c r="G33" s="534">
        <v>15.5</v>
      </c>
      <c r="H33" s="534">
        <v>207</v>
      </c>
      <c r="I33" s="534">
        <v>7.82</v>
      </c>
    </row>
    <row r="34" spans="1:9" s="52" customFormat="1" ht="21" customHeight="1">
      <c r="A34" s="521"/>
      <c r="B34" s="523"/>
      <c r="C34" s="524">
        <v>300</v>
      </c>
      <c r="D34" s="513">
        <v>0.20833333333333334</v>
      </c>
      <c r="E34" s="525">
        <v>23.715514687351682</v>
      </c>
      <c r="F34" s="525">
        <v>11.965514687351682</v>
      </c>
      <c r="G34" s="534"/>
      <c r="H34" s="534"/>
      <c r="I34" s="534"/>
    </row>
    <row r="35" spans="1:9" s="52" customFormat="1" ht="21" customHeight="1">
      <c r="A35" s="521" t="s">
        <v>4</v>
      </c>
      <c r="B35" s="523" t="s">
        <v>4</v>
      </c>
      <c r="C35" s="524">
        <v>360</v>
      </c>
      <c r="D35" s="513">
        <v>0.25</v>
      </c>
      <c r="E35" s="525">
        <v>24.059829319192037</v>
      </c>
      <c r="F35" s="525">
        <v>12.309829319192037</v>
      </c>
      <c r="G35" s="534"/>
      <c r="H35" s="534"/>
      <c r="I35" s="534"/>
    </row>
    <row r="36" spans="1:9" s="52" customFormat="1" ht="21" customHeight="1">
      <c r="A36" s="521"/>
      <c r="B36" s="523"/>
      <c r="C36" s="524">
        <v>420</v>
      </c>
      <c r="D36" s="513">
        <v>0.29166666666666669</v>
      </c>
      <c r="E36" s="525">
        <v>24.350943192427803</v>
      </c>
      <c r="F36" s="525">
        <v>12.600943192427803</v>
      </c>
      <c r="G36" s="534"/>
      <c r="H36" s="534"/>
      <c r="I36" s="534"/>
    </row>
    <row r="37" spans="1:9" s="52" customFormat="1" ht="21" customHeight="1">
      <c r="A37" s="521"/>
      <c r="B37" s="523"/>
      <c r="C37" s="524">
        <v>480</v>
      </c>
      <c r="D37" s="513">
        <v>0.33333333333333331</v>
      </c>
      <c r="E37" s="525">
        <v>24.603117499729279</v>
      </c>
      <c r="F37" s="525">
        <v>12.853117499729279</v>
      </c>
      <c r="G37" s="534">
        <v>15.399999999999999</v>
      </c>
      <c r="H37" s="534">
        <v>178</v>
      </c>
      <c r="I37" s="534">
        <v>7.98</v>
      </c>
    </row>
    <row r="38" spans="1:9" s="52" customFormat="1" ht="21" customHeight="1">
      <c r="A38" s="521"/>
      <c r="B38" s="523"/>
      <c r="C38" s="524">
        <v>540</v>
      </c>
      <c r="D38" s="513">
        <v>0.375</v>
      </c>
      <c r="E38" s="525">
        <v>24.825551002778504</v>
      </c>
      <c r="F38" s="525">
        <v>13.075551002778504</v>
      </c>
      <c r="G38" s="534"/>
      <c r="H38" s="534"/>
      <c r="I38" s="534"/>
    </row>
    <row r="39" spans="1:9" s="52" customFormat="1" ht="21" customHeight="1">
      <c r="A39" s="521"/>
      <c r="B39" s="523">
        <v>45299.854166666664</v>
      </c>
      <c r="C39" s="524">
        <v>600</v>
      </c>
      <c r="D39" s="513">
        <v>0.41666666666666669</v>
      </c>
      <c r="E39" s="525">
        <v>25.024524551475388</v>
      </c>
      <c r="F39" s="525">
        <v>13.274524551475388</v>
      </c>
      <c r="G39" s="534"/>
      <c r="H39" s="534"/>
      <c r="I39" s="534"/>
    </row>
    <row r="40" spans="1:9" s="52" customFormat="1" ht="21" customHeight="1">
      <c r="A40" s="521" t="s">
        <v>4</v>
      </c>
      <c r="B40" s="523" t="s">
        <v>4</v>
      </c>
      <c r="C40" s="524">
        <v>660</v>
      </c>
      <c r="D40" s="513">
        <v>0.45833333333333331</v>
      </c>
      <c r="E40" s="525">
        <v>25.204518020415822</v>
      </c>
      <c r="F40" s="525">
        <v>13.454518020415822</v>
      </c>
      <c r="G40" s="534"/>
      <c r="H40" s="534"/>
      <c r="I40" s="534"/>
    </row>
    <row r="41" spans="1:9" s="52" customFormat="1" ht="21" customHeight="1">
      <c r="A41" s="521"/>
      <c r="B41" s="523"/>
      <c r="C41" s="524">
        <v>720</v>
      </c>
      <c r="D41" s="513">
        <v>0.5</v>
      </c>
      <c r="E41" s="525">
        <v>25.368839183315746</v>
      </c>
      <c r="F41" s="525">
        <v>13.618839183315746</v>
      </c>
      <c r="G41" s="534"/>
      <c r="H41" s="534"/>
      <c r="I41" s="534"/>
    </row>
    <row r="42" spans="1:9" s="52" customFormat="1" ht="21" customHeight="1">
      <c r="A42" s="521"/>
      <c r="B42" s="523"/>
      <c r="C42" s="524">
        <v>780</v>
      </c>
      <c r="D42" s="513">
        <v>0.54166666666666663</v>
      </c>
      <c r="E42" s="525">
        <v>25.52</v>
      </c>
      <c r="F42" s="525">
        <v>13.77</v>
      </c>
      <c r="G42" s="534"/>
      <c r="H42" s="534"/>
      <c r="I42" s="534"/>
    </row>
    <row r="43" spans="1:9" s="52" customFormat="1" ht="21" customHeight="1">
      <c r="A43" s="521"/>
      <c r="B43" s="523"/>
      <c r="C43" s="524">
        <v>840</v>
      </c>
      <c r="D43" s="513">
        <v>0.58333333333333337</v>
      </c>
      <c r="E43" s="525">
        <v>25.52</v>
      </c>
      <c r="F43" s="525">
        <v>13.77</v>
      </c>
      <c r="G43" s="534"/>
      <c r="H43" s="534"/>
      <c r="I43" s="534"/>
    </row>
    <row r="44" spans="1:9" s="52" customFormat="1" ht="21" customHeight="1">
      <c r="A44" s="521"/>
      <c r="B44" s="523"/>
      <c r="C44" s="524">
        <v>900</v>
      </c>
      <c r="D44" s="513">
        <v>0.625</v>
      </c>
      <c r="E44" s="525">
        <v>25.52</v>
      </c>
      <c r="F44" s="525">
        <v>13.77</v>
      </c>
      <c r="G44" s="534"/>
      <c r="H44" s="534"/>
      <c r="I44" s="534"/>
    </row>
    <row r="45" spans="1:9" s="52" customFormat="1" ht="21" customHeight="1">
      <c r="A45" s="521" t="s">
        <v>4</v>
      </c>
      <c r="B45" s="523">
        <v>45300.104166666664</v>
      </c>
      <c r="C45" s="524">
        <v>960</v>
      </c>
      <c r="D45" s="513">
        <v>0.66666666666666663</v>
      </c>
      <c r="E45" s="525">
        <v>25.52</v>
      </c>
      <c r="F45" s="525">
        <v>13.77</v>
      </c>
      <c r="G45" s="534"/>
      <c r="H45" s="534"/>
      <c r="I45" s="534"/>
    </row>
    <row r="46" spans="1:9" s="52" customFormat="1" ht="21" customHeight="1">
      <c r="A46" s="521"/>
      <c r="B46" s="521"/>
      <c r="C46" s="524">
        <v>1020</v>
      </c>
      <c r="D46" s="513">
        <v>0.70833333333333337</v>
      </c>
      <c r="E46" s="525">
        <v>25.52</v>
      </c>
      <c r="F46" s="525">
        <v>13.77</v>
      </c>
      <c r="G46" s="534"/>
      <c r="H46" s="534"/>
      <c r="I46" s="534"/>
    </row>
    <row r="47" spans="1:9" s="52" customFormat="1" ht="21" customHeight="1">
      <c r="A47" s="521"/>
      <c r="B47" s="523"/>
      <c r="C47" s="524">
        <v>1080</v>
      </c>
      <c r="D47" s="513">
        <v>0.75</v>
      </c>
      <c r="E47" s="525">
        <v>25.52</v>
      </c>
      <c r="F47" s="525">
        <v>13.77</v>
      </c>
      <c r="G47" s="534"/>
      <c r="H47" s="534"/>
      <c r="I47" s="534"/>
    </row>
    <row r="48" spans="1:9" s="52" customFormat="1" ht="21" customHeight="1">
      <c r="A48" s="521"/>
      <c r="B48" s="523"/>
      <c r="C48" s="524">
        <v>1140</v>
      </c>
      <c r="D48" s="513">
        <v>0.79166666666666663</v>
      </c>
      <c r="E48" s="525">
        <v>25.52</v>
      </c>
      <c r="F48" s="525">
        <v>13.77</v>
      </c>
      <c r="G48" s="534"/>
      <c r="H48" s="534"/>
      <c r="I48" s="534"/>
    </row>
    <row r="49" spans="1:9" s="52" customFormat="1" ht="21" customHeight="1">
      <c r="A49" s="521"/>
      <c r="B49" s="523"/>
      <c r="C49" s="524">
        <v>1200</v>
      </c>
      <c r="D49" s="513">
        <v>0.83333333333333337</v>
      </c>
      <c r="E49" s="525">
        <v>25.52</v>
      </c>
      <c r="F49" s="525">
        <v>13.77</v>
      </c>
      <c r="G49" s="534"/>
      <c r="H49" s="534"/>
      <c r="I49" s="534"/>
    </row>
    <row r="50" spans="1:9" s="52" customFormat="1" ht="21" customHeight="1">
      <c r="A50" s="521"/>
      <c r="B50" s="523"/>
      <c r="C50" s="524">
        <v>1260</v>
      </c>
      <c r="D50" s="513">
        <v>0.875</v>
      </c>
      <c r="E50" s="525">
        <v>25.52</v>
      </c>
      <c r="F50" s="525">
        <v>13.77</v>
      </c>
      <c r="G50" s="534"/>
      <c r="H50" s="534"/>
      <c r="I50" s="534"/>
    </row>
    <row r="51" spans="1:9" s="52" customFormat="1" ht="21" customHeight="1">
      <c r="A51" s="521"/>
      <c r="B51" s="523">
        <v>45300.354166666664</v>
      </c>
      <c r="C51" s="524">
        <v>1320</v>
      </c>
      <c r="D51" s="513">
        <v>0.91666666666666663</v>
      </c>
      <c r="E51" s="525">
        <v>25.52</v>
      </c>
      <c r="F51" s="525">
        <v>13.77</v>
      </c>
      <c r="G51" s="534"/>
      <c r="H51" s="534"/>
      <c r="I51" s="534"/>
    </row>
    <row r="52" spans="1:9" s="52" customFormat="1" ht="21" customHeight="1">
      <c r="A52" s="521"/>
      <c r="B52" s="523"/>
      <c r="C52" s="524">
        <v>1380</v>
      </c>
      <c r="D52" s="513">
        <v>0.95833333333333337</v>
      </c>
      <c r="E52" s="525">
        <v>25.52</v>
      </c>
      <c r="F52" s="525">
        <v>13.77</v>
      </c>
      <c r="G52" s="534"/>
      <c r="H52" s="534"/>
      <c r="I52" s="534"/>
    </row>
    <row r="53" spans="1:9" s="52" customFormat="1" ht="21" customHeight="1">
      <c r="A53" s="521"/>
      <c r="B53" s="523"/>
      <c r="C53" s="524">
        <v>1440</v>
      </c>
      <c r="D53" s="513">
        <v>1</v>
      </c>
      <c r="E53" s="525">
        <v>25.52</v>
      </c>
      <c r="F53" s="525">
        <v>13.77</v>
      </c>
      <c r="G53" s="534">
        <v>15.5</v>
      </c>
      <c r="H53" s="534">
        <v>211</v>
      </c>
      <c r="I53" s="534">
        <v>8</v>
      </c>
    </row>
    <row r="54" spans="1:9" s="52" customFormat="1" ht="21" customHeight="1">
      <c r="A54" s="521"/>
      <c r="B54" s="523"/>
      <c r="C54" s="524">
        <v>1500</v>
      </c>
      <c r="D54" s="513">
        <v>1.0416666666666667</v>
      </c>
      <c r="E54" s="525">
        <v>25.52</v>
      </c>
      <c r="F54" s="525">
        <v>13.77</v>
      </c>
      <c r="G54" s="534"/>
      <c r="H54" s="534"/>
      <c r="I54" s="534"/>
    </row>
    <row r="55" spans="1:9" s="52" customFormat="1" ht="21" customHeight="1">
      <c r="A55" s="521"/>
      <c r="B55" s="523" t="s">
        <v>4</v>
      </c>
      <c r="C55" s="524">
        <v>1560</v>
      </c>
      <c r="D55" s="513">
        <v>1.0833333333333333</v>
      </c>
      <c r="E55" s="525">
        <v>25.52</v>
      </c>
      <c r="F55" s="525">
        <v>13.77</v>
      </c>
      <c r="G55" s="534"/>
      <c r="H55" s="534"/>
      <c r="I55" s="534"/>
    </row>
    <row r="56" spans="1:9" s="52" customFormat="1" ht="21.6" customHeight="1">
      <c r="A56" s="521"/>
      <c r="B56" s="523">
        <v>45300.5625</v>
      </c>
      <c r="C56" s="524">
        <v>1620</v>
      </c>
      <c r="D56" s="513">
        <v>1.125</v>
      </c>
      <c r="E56" s="525">
        <v>25.52</v>
      </c>
      <c r="F56" s="525">
        <v>13.77</v>
      </c>
      <c r="G56" s="534"/>
      <c r="H56" s="534"/>
      <c r="I56" s="534"/>
    </row>
    <row r="57" spans="1:9" s="52" customFormat="1" ht="21.6" customHeight="1">
      <c r="A57" s="521"/>
      <c r="B57" s="523"/>
      <c r="C57" s="524">
        <v>1680</v>
      </c>
      <c r="D57" s="513">
        <v>1.1666666666666667</v>
      </c>
      <c r="E57" s="525">
        <v>25.52</v>
      </c>
      <c r="F57" s="525">
        <v>13.77</v>
      </c>
      <c r="G57" s="534">
        <v>15.5</v>
      </c>
      <c r="H57" s="534">
        <v>211</v>
      </c>
      <c r="I57" s="534">
        <v>8</v>
      </c>
    </row>
    <row r="58" spans="1:9" s="52" customFormat="1" ht="21.6" customHeight="1">
      <c r="A58" s="521"/>
      <c r="B58" s="523"/>
      <c r="C58" s="524">
        <v>1740</v>
      </c>
      <c r="D58" s="513">
        <v>1.2083333333333333</v>
      </c>
      <c r="E58" s="525">
        <v>25.52</v>
      </c>
      <c r="F58" s="525">
        <v>13.77</v>
      </c>
      <c r="G58" s="534"/>
      <c r="H58" s="534"/>
      <c r="I58" s="534"/>
    </row>
    <row r="59" spans="1:9" s="52" customFormat="1" ht="21.6" customHeight="1">
      <c r="A59" s="521"/>
      <c r="B59" s="523"/>
      <c r="C59" s="524">
        <v>1800</v>
      </c>
      <c r="D59" s="513">
        <v>1.25</v>
      </c>
      <c r="E59" s="525">
        <v>25.52</v>
      </c>
      <c r="F59" s="525">
        <v>13.77</v>
      </c>
      <c r="G59" s="534"/>
      <c r="H59" s="534"/>
      <c r="I59" s="534"/>
    </row>
    <row r="60" spans="1:9" s="52" customFormat="1" ht="21.6" customHeight="1">
      <c r="A60" s="521"/>
      <c r="B60" s="523"/>
      <c r="C60" s="524">
        <v>1860</v>
      </c>
      <c r="D60" s="513">
        <v>1.2916666666666667</v>
      </c>
      <c r="E60" s="525">
        <v>25.52</v>
      </c>
      <c r="F60" s="525">
        <v>13.77</v>
      </c>
      <c r="G60" s="534"/>
      <c r="H60" s="534"/>
      <c r="I60" s="534"/>
    </row>
    <row r="61" spans="1:9" s="52" customFormat="1" ht="21.6" customHeight="1">
      <c r="A61" s="521"/>
      <c r="B61" s="523">
        <v>45300.770833333336</v>
      </c>
      <c r="C61" s="524">
        <v>1920</v>
      </c>
      <c r="D61" s="513">
        <v>1.3333333333333333</v>
      </c>
      <c r="E61" s="525">
        <v>25.52</v>
      </c>
      <c r="F61" s="525">
        <v>13.77</v>
      </c>
      <c r="G61" s="534">
        <v>15.5</v>
      </c>
      <c r="H61" s="534">
        <v>211</v>
      </c>
      <c r="I61" s="534">
        <v>8</v>
      </c>
    </row>
    <row r="62" spans="1:9" s="52" customFormat="1" ht="21.6" customHeight="1">
      <c r="A62" s="521"/>
      <c r="B62" s="523"/>
      <c r="C62" s="524">
        <v>1980</v>
      </c>
      <c r="D62" s="513">
        <v>1.375</v>
      </c>
      <c r="E62" s="525">
        <v>25.52</v>
      </c>
      <c r="F62" s="525">
        <v>13.77</v>
      </c>
      <c r="G62" s="534"/>
      <c r="H62" s="534"/>
      <c r="I62" s="534"/>
    </row>
    <row r="63" spans="1:9" s="52" customFormat="1" ht="21.6" customHeight="1">
      <c r="A63" s="521"/>
      <c r="B63" s="523"/>
      <c r="C63" s="524">
        <v>2040</v>
      </c>
      <c r="D63" s="513">
        <v>1.4166666666666667</v>
      </c>
      <c r="E63" s="525">
        <v>25.52</v>
      </c>
      <c r="F63" s="525">
        <v>13.77</v>
      </c>
      <c r="G63" s="534"/>
      <c r="H63" s="534"/>
      <c r="I63" s="534"/>
    </row>
    <row r="64" spans="1:9" s="52" customFormat="1" ht="21.6" customHeight="1">
      <c r="A64" s="521"/>
      <c r="B64" s="523"/>
      <c r="C64" s="524">
        <v>2100</v>
      </c>
      <c r="D64" s="513">
        <v>1.4583333333333333</v>
      </c>
      <c r="E64" s="525">
        <v>25.52</v>
      </c>
      <c r="F64" s="525">
        <v>13.77</v>
      </c>
      <c r="G64" s="534"/>
      <c r="H64" s="534"/>
      <c r="I64" s="534"/>
    </row>
    <row r="65" spans="1:9" s="52" customFormat="1" ht="21.6" customHeight="1">
      <c r="A65" s="521"/>
      <c r="B65" s="523"/>
      <c r="C65" s="524">
        <v>2160</v>
      </c>
      <c r="D65" s="513">
        <v>1.5</v>
      </c>
      <c r="E65" s="525">
        <v>25.52</v>
      </c>
      <c r="F65" s="525">
        <v>13.77</v>
      </c>
      <c r="G65" s="534"/>
      <c r="H65" s="534"/>
      <c r="I65" s="534"/>
    </row>
    <row r="66" spans="1:9" s="52" customFormat="1" ht="21.6" customHeight="1">
      <c r="A66" s="521"/>
      <c r="B66" s="523">
        <v>45300.979166666664</v>
      </c>
      <c r="C66" s="524">
        <v>2220</v>
      </c>
      <c r="D66" s="513">
        <v>1.5416666666666667</v>
      </c>
      <c r="E66" s="525">
        <v>25.52</v>
      </c>
      <c r="F66" s="525">
        <v>13.77</v>
      </c>
      <c r="G66" s="534"/>
      <c r="H66" s="534"/>
      <c r="I66" s="534"/>
    </row>
    <row r="67" spans="1:9" s="52" customFormat="1" ht="21.6" customHeight="1">
      <c r="A67" s="521"/>
      <c r="B67" s="523"/>
      <c r="C67" s="524">
        <v>2280</v>
      </c>
      <c r="D67" s="513">
        <v>1.5833333333333333</v>
      </c>
      <c r="E67" s="525">
        <v>25.52</v>
      </c>
      <c r="F67" s="525">
        <v>13.77</v>
      </c>
      <c r="G67" s="534"/>
      <c r="H67" s="534"/>
      <c r="I67" s="534"/>
    </row>
    <row r="68" spans="1:9" s="52" customFormat="1" ht="21.6" customHeight="1">
      <c r="A68" s="521"/>
      <c r="B68" s="523" t="s">
        <v>4</v>
      </c>
      <c r="C68" s="524">
        <v>2340</v>
      </c>
      <c r="D68" s="513">
        <v>1.625</v>
      </c>
      <c r="E68" s="525">
        <v>25.52</v>
      </c>
      <c r="F68" s="525">
        <v>13.77</v>
      </c>
      <c r="G68" s="534"/>
      <c r="H68" s="534"/>
      <c r="I68" s="534"/>
    </row>
    <row r="69" spans="1:9" s="52" customFormat="1" ht="21.6" customHeight="1">
      <c r="A69" s="521"/>
      <c r="B69" s="523"/>
      <c r="C69" s="524">
        <v>2400</v>
      </c>
      <c r="D69" s="513">
        <v>1.6666666666666667</v>
      </c>
      <c r="E69" s="525">
        <v>25.52</v>
      </c>
      <c r="F69" s="525">
        <v>13.77</v>
      </c>
      <c r="G69" s="534"/>
      <c r="H69" s="534"/>
      <c r="I69" s="534"/>
    </row>
    <row r="70" spans="1:9" s="52" customFormat="1" ht="21.6" customHeight="1">
      <c r="A70" s="521"/>
      <c r="B70" s="523"/>
      <c r="C70" s="524">
        <v>2460</v>
      </c>
      <c r="D70" s="513">
        <v>1.7083333333333333</v>
      </c>
      <c r="E70" s="525">
        <v>25.52</v>
      </c>
      <c r="F70" s="525">
        <v>13.77</v>
      </c>
      <c r="G70" s="534"/>
      <c r="H70" s="534"/>
      <c r="I70" s="534"/>
    </row>
    <row r="71" spans="1:9" s="52" customFormat="1" ht="21.6" customHeight="1">
      <c r="A71" s="521"/>
      <c r="B71" s="523">
        <v>45301.1875</v>
      </c>
      <c r="C71" s="524">
        <v>2520</v>
      </c>
      <c r="D71" s="513">
        <v>1.75</v>
      </c>
      <c r="E71" s="525">
        <v>25.52</v>
      </c>
      <c r="F71" s="525">
        <v>13.77</v>
      </c>
      <c r="G71" s="534"/>
      <c r="H71" s="534"/>
      <c r="I71" s="534"/>
    </row>
    <row r="72" spans="1:9" s="52" customFormat="1" ht="21.6" customHeight="1">
      <c r="A72" s="521"/>
      <c r="B72" s="523"/>
      <c r="C72" s="524">
        <v>2580</v>
      </c>
      <c r="D72" s="513">
        <v>1.7916666666666667</v>
      </c>
      <c r="E72" s="525">
        <v>25.52</v>
      </c>
      <c r="F72" s="525">
        <v>13.77</v>
      </c>
      <c r="G72" s="534"/>
      <c r="H72" s="534"/>
      <c r="I72" s="534"/>
    </row>
    <row r="73" spans="1:9" s="52" customFormat="1" ht="21.6" customHeight="1">
      <c r="A73" s="521"/>
      <c r="B73" s="523"/>
      <c r="C73" s="524">
        <v>2640</v>
      </c>
      <c r="D73" s="513">
        <v>1.8333333333333333</v>
      </c>
      <c r="E73" s="525">
        <v>25.52</v>
      </c>
      <c r="F73" s="525">
        <v>13.77</v>
      </c>
      <c r="G73" s="534"/>
      <c r="H73" s="534"/>
      <c r="I73" s="534"/>
    </row>
    <row r="74" spans="1:9" s="52" customFormat="1" ht="21.6" customHeight="1">
      <c r="A74" s="521"/>
      <c r="B74" s="523"/>
      <c r="C74" s="524">
        <v>2700</v>
      </c>
      <c r="D74" s="513">
        <v>1.875</v>
      </c>
      <c r="E74" s="525">
        <v>25.52</v>
      </c>
      <c r="F74" s="525">
        <v>13.77</v>
      </c>
      <c r="G74" s="534"/>
      <c r="H74" s="534"/>
      <c r="I74" s="534"/>
    </row>
    <row r="75" spans="1:9" s="52" customFormat="1" ht="21.6" customHeight="1">
      <c r="A75" s="521"/>
      <c r="B75" s="523"/>
      <c r="C75" s="524">
        <v>2760</v>
      </c>
      <c r="D75" s="513">
        <v>1.9166666666666667</v>
      </c>
      <c r="E75" s="525">
        <v>25.52</v>
      </c>
      <c r="F75" s="525">
        <v>13.77</v>
      </c>
      <c r="G75" s="534"/>
      <c r="H75" s="534"/>
      <c r="I75" s="534"/>
    </row>
    <row r="76" spans="1:9" s="52" customFormat="1" ht="21.6" customHeight="1">
      <c r="A76" s="521"/>
      <c r="B76" s="523"/>
      <c r="C76" s="524">
        <v>2820</v>
      </c>
      <c r="D76" s="513">
        <v>1.9583333333333333</v>
      </c>
      <c r="E76" s="525">
        <v>25.52</v>
      </c>
      <c r="F76" s="525">
        <v>13.77</v>
      </c>
      <c r="G76" s="534"/>
      <c r="H76" s="534"/>
      <c r="I76" s="534"/>
    </row>
    <row r="77" spans="1:9" s="52" customFormat="1" ht="21.6" customHeight="1">
      <c r="A77" s="521"/>
      <c r="B77" s="523">
        <v>45301.4375</v>
      </c>
      <c r="C77" s="524">
        <v>2880</v>
      </c>
      <c r="D77" s="513">
        <v>2</v>
      </c>
      <c r="E77" s="525">
        <v>25.52</v>
      </c>
      <c r="F77" s="525">
        <v>13.77</v>
      </c>
      <c r="G77" s="534">
        <v>15.5</v>
      </c>
      <c r="H77" s="534">
        <v>211</v>
      </c>
      <c r="I77" s="534">
        <v>8</v>
      </c>
    </row>
    <row r="78" spans="1:9" s="52" customFormat="1" ht="20.45" customHeight="1">
      <c r="A78" s="521">
        <v>0</v>
      </c>
      <c r="B78" s="523">
        <v>45301.438194444447</v>
      </c>
      <c r="C78" s="524">
        <v>1</v>
      </c>
      <c r="D78" s="513">
        <v>6.9444444444444447E-4</v>
      </c>
      <c r="E78" s="525">
        <v>21.288568186816178</v>
      </c>
      <c r="F78" s="525">
        <v>9.53856818681618</v>
      </c>
      <c r="G78" s="535" t="s">
        <v>191</v>
      </c>
      <c r="H78" s="535"/>
      <c r="I78" s="535"/>
    </row>
    <row r="79" spans="1:9" s="52" customFormat="1" ht="20.45" customHeight="1">
      <c r="A79" s="521"/>
      <c r="B79" s="521" t="s">
        <v>21</v>
      </c>
      <c r="C79" s="524">
        <v>2</v>
      </c>
      <c r="D79" s="513">
        <v>1.3888888888888889E-3</v>
      </c>
      <c r="E79" s="525">
        <v>20.566884881324555</v>
      </c>
      <c r="F79" s="525">
        <v>8.8168848813245546</v>
      </c>
      <c r="G79" s="535"/>
      <c r="H79" s="535"/>
      <c r="I79" s="535"/>
    </row>
    <row r="80" spans="1:9" s="52" customFormat="1" ht="20.45" customHeight="1">
      <c r="A80" s="521"/>
      <c r="B80" s="523" t="s">
        <v>21</v>
      </c>
      <c r="C80" s="524">
        <v>3</v>
      </c>
      <c r="D80" s="513">
        <v>2.0833333333333333E-3</v>
      </c>
      <c r="E80" s="525">
        <v>19.899803774320667</v>
      </c>
      <c r="F80" s="525">
        <v>8.1498037743206666</v>
      </c>
      <c r="G80" s="535"/>
      <c r="H80" s="535"/>
      <c r="I80" s="535"/>
    </row>
    <row r="81" spans="1:9" s="52" customFormat="1" ht="20.45" customHeight="1">
      <c r="A81" s="521"/>
      <c r="B81" s="523" t="s">
        <v>21</v>
      </c>
      <c r="C81" s="524">
        <v>4</v>
      </c>
      <c r="D81" s="513">
        <v>2.7777777777777779E-3</v>
      </c>
      <c r="E81" s="525">
        <v>19.283193690735047</v>
      </c>
      <c r="F81" s="525">
        <v>7.5331936907350467</v>
      </c>
      <c r="G81" s="535"/>
      <c r="H81" s="535"/>
      <c r="I81" s="535"/>
    </row>
    <row r="82" spans="1:9" s="52" customFormat="1" ht="20.45" customHeight="1">
      <c r="A82" s="521"/>
      <c r="B82" s="523" t="s">
        <v>21</v>
      </c>
      <c r="C82" s="524">
        <v>5</v>
      </c>
      <c r="D82" s="513">
        <v>3.472222222222222E-3</v>
      </c>
      <c r="E82" s="525">
        <v>18.713236018140901</v>
      </c>
      <c r="F82" s="525">
        <v>6.9632360181408997</v>
      </c>
      <c r="G82" s="535"/>
      <c r="H82" s="535"/>
      <c r="I82" s="535"/>
    </row>
    <row r="83" spans="1:9" s="52" customFormat="1" ht="20.45" customHeight="1">
      <c r="A83" s="521"/>
      <c r="B83" s="523" t="s">
        <v>21</v>
      </c>
      <c r="C83" s="524">
        <v>10</v>
      </c>
      <c r="D83" s="513">
        <v>6.9444444444444441E-3</v>
      </c>
      <c r="E83" s="525">
        <v>17.249295555852896</v>
      </c>
      <c r="F83" s="525">
        <v>5.4992955558528971</v>
      </c>
      <c r="G83" s="535"/>
      <c r="H83" s="535"/>
      <c r="I83" s="535"/>
    </row>
    <row r="84" spans="1:9" s="52" customFormat="1" ht="20.45" customHeight="1">
      <c r="A84" s="521"/>
      <c r="B84" s="523" t="s">
        <v>21</v>
      </c>
      <c r="C84" s="524">
        <v>15</v>
      </c>
      <c r="D84" s="513">
        <v>1.0416666666666666E-2</v>
      </c>
      <c r="E84" s="525">
        <v>16.968292061261415</v>
      </c>
      <c r="F84" s="525">
        <v>5.2182920612614154</v>
      </c>
      <c r="G84" s="535"/>
      <c r="H84" s="535"/>
      <c r="I84" s="535"/>
    </row>
    <row r="85" spans="1:9" s="52" customFormat="1" ht="20.45" customHeight="1">
      <c r="A85" s="521"/>
      <c r="B85" s="523" t="s">
        <v>21</v>
      </c>
      <c r="C85" s="524">
        <v>20</v>
      </c>
      <c r="D85" s="513">
        <v>1.3888888888888888E-2</v>
      </c>
      <c r="E85" s="525">
        <v>16.208536701048736</v>
      </c>
      <c r="F85" s="525">
        <v>4.458536701048736</v>
      </c>
      <c r="G85" s="535"/>
      <c r="H85" s="535"/>
      <c r="I85" s="535"/>
    </row>
    <row r="86" spans="1:9" s="52" customFormat="1" ht="20.45" customHeight="1">
      <c r="A86" s="521"/>
      <c r="B86" s="523" t="s">
        <v>21</v>
      </c>
      <c r="C86" s="524">
        <v>25</v>
      </c>
      <c r="D86" s="513">
        <v>1.7361111111111112E-2</v>
      </c>
      <c r="E86" s="525">
        <v>15.871206040822827</v>
      </c>
      <c r="F86" s="525">
        <v>4.1212060408228259</v>
      </c>
      <c r="G86" s="535"/>
      <c r="H86" s="535"/>
      <c r="I86" s="535"/>
    </row>
    <row r="87" spans="1:9" s="52" customFormat="1" ht="20.45" customHeight="1">
      <c r="A87" s="521"/>
      <c r="B87" s="523" t="s">
        <v>21</v>
      </c>
      <c r="C87" s="524">
        <v>30</v>
      </c>
      <c r="D87" s="513">
        <v>2.0833333333333332E-2</v>
      </c>
      <c r="E87" s="525">
        <v>15.559397649888021</v>
      </c>
      <c r="F87" s="525">
        <v>3.8093976498880213</v>
      </c>
      <c r="G87" s="535"/>
      <c r="H87" s="535"/>
      <c r="I87" s="535"/>
    </row>
    <row r="88" spans="1:9" s="52" customFormat="1" ht="20.45" customHeight="1">
      <c r="A88" s="521"/>
      <c r="B88" s="523"/>
      <c r="C88" s="524">
        <v>35</v>
      </c>
      <c r="D88" s="513">
        <v>2.4305555555555556E-2</v>
      </c>
      <c r="E88" s="525">
        <v>15.460795063055894</v>
      </c>
      <c r="F88" s="525">
        <v>3.7107950630558943</v>
      </c>
      <c r="G88" s="535"/>
      <c r="H88" s="535"/>
      <c r="I88" s="535"/>
    </row>
    <row r="89" spans="1:9" s="52" customFormat="1" ht="20.45" customHeight="1">
      <c r="A89" s="521"/>
      <c r="B89" s="523"/>
      <c r="C89" s="524">
        <v>40</v>
      </c>
      <c r="D89" s="513">
        <v>2.7777777777777776E-2</v>
      </c>
      <c r="E89" s="525">
        <v>15.364744709154945</v>
      </c>
      <c r="F89" s="525">
        <v>3.6147447091549436</v>
      </c>
      <c r="G89" s="535"/>
      <c r="H89" s="535"/>
      <c r="I89" s="535"/>
    </row>
    <row r="90" spans="1:9" s="52" customFormat="1" ht="20.45" customHeight="1">
      <c r="A90" s="521"/>
      <c r="B90" s="523" t="s">
        <v>21</v>
      </c>
      <c r="C90" s="524">
        <v>45</v>
      </c>
      <c r="D90" s="513">
        <v>3.125E-2</v>
      </c>
      <c r="E90" s="525">
        <v>15.271180526095478</v>
      </c>
      <c r="F90" s="525">
        <v>3.5211805260954776</v>
      </c>
      <c r="G90" s="535"/>
      <c r="H90" s="535"/>
      <c r="I90" s="535"/>
    </row>
    <row r="91" spans="1:9" s="52" customFormat="1" ht="20.45" customHeight="1">
      <c r="A91" s="521"/>
      <c r="B91" s="523"/>
      <c r="C91" s="524">
        <v>50</v>
      </c>
      <c r="D91" s="513">
        <v>3.4722222222222224E-2</v>
      </c>
      <c r="E91" s="525">
        <v>15.180038161741331</v>
      </c>
      <c r="F91" s="525">
        <v>3.4300381617413316</v>
      </c>
      <c r="G91" s="535"/>
      <c r="H91" s="535"/>
      <c r="I91" s="535"/>
    </row>
    <row r="92" spans="1:9" s="52" customFormat="1" ht="20.45" customHeight="1">
      <c r="A92" s="521"/>
      <c r="B92" s="523"/>
      <c r="C92" s="524">
        <v>55</v>
      </c>
      <c r="D92" s="513">
        <v>3.8194444444444448E-2</v>
      </c>
      <c r="E92" s="525">
        <v>15.091254929649363</v>
      </c>
      <c r="F92" s="525">
        <v>3.3412549296493634</v>
      </c>
      <c r="G92" s="535"/>
      <c r="H92" s="535"/>
      <c r="I92" s="535"/>
    </row>
    <row r="93" spans="1:9" s="52" customFormat="1" ht="20.45" customHeight="1">
      <c r="A93" s="521"/>
      <c r="B93" s="523">
        <v>45301.479166666664</v>
      </c>
      <c r="C93" s="524">
        <v>60</v>
      </c>
      <c r="D93" s="513">
        <v>4.1666666666666664E-2</v>
      </c>
      <c r="E93" s="525">
        <v>15.004769765954597</v>
      </c>
      <c r="F93" s="525">
        <v>3.2547697659545975</v>
      </c>
      <c r="G93" s="535"/>
      <c r="H93" s="535"/>
      <c r="I93" s="535"/>
    </row>
    <row r="94" spans="1:9" s="52" customFormat="1" ht="20.45" customHeight="1">
      <c r="A94" s="521"/>
      <c r="B94" s="523"/>
      <c r="C94" s="524">
        <v>75</v>
      </c>
      <c r="D94" s="513">
        <v>5.2083333333333336E-2</v>
      </c>
      <c r="E94" s="525">
        <v>14.920523187371353</v>
      </c>
      <c r="F94" s="525">
        <v>3.1705231873713529</v>
      </c>
      <c r="G94" s="535"/>
      <c r="H94" s="535"/>
      <c r="I94" s="535"/>
    </row>
    <row r="95" spans="1:9" s="52" customFormat="1" ht="20.45" customHeight="1">
      <c r="A95" s="521"/>
      <c r="B95" s="523"/>
      <c r="C95" s="524">
        <v>90</v>
      </c>
      <c r="D95" s="513">
        <v>6.25E-2</v>
      </c>
      <c r="E95" s="525">
        <v>14.83845725028147</v>
      </c>
      <c r="F95" s="525">
        <v>3.0884572502814702</v>
      </c>
      <c r="G95" s="535"/>
      <c r="H95" s="535"/>
      <c r="I95" s="535"/>
    </row>
    <row r="96" spans="1:9" s="52" customFormat="1" ht="20.45" customHeight="1">
      <c r="A96" s="521"/>
      <c r="B96" s="523"/>
      <c r="C96" s="524">
        <v>105</v>
      </c>
      <c r="D96" s="513">
        <v>7.2916666666666671E-2</v>
      </c>
      <c r="E96" s="525">
        <v>14.758515510881505</v>
      </c>
      <c r="F96" s="525">
        <v>3.0085155108815043</v>
      </c>
      <c r="G96" s="535"/>
      <c r="H96" s="535"/>
      <c r="I96" s="535"/>
    </row>
    <row r="97" spans="1:9" s="52" customFormat="1" ht="20.45" customHeight="1">
      <c r="A97" s="521"/>
      <c r="B97" s="523">
        <v>45301.520833333336</v>
      </c>
      <c r="C97" s="524">
        <v>120</v>
      </c>
      <c r="D97" s="513">
        <v>8.3333333333333329E-2</v>
      </c>
      <c r="E97" s="525">
        <v>14.530892729768851</v>
      </c>
      <c r="F97" s="525">
        <v>2.7808927297688504</v>
      </c>
      <c r="G97" s="535"/>
      <c r="H97" s="535"/>
      <c r="I97" s="535"/>
    </row>
    <row r="98" spans="1:9" s="52" customFormat="1" ht="20.45" customHeight="1">
      <c r="A98" s="521"/>
      <c r="B98" s="523" t="s">
        <v>21</v>
      </c>
      <c r="C98" s="524">
        <v>180</v>
      </c>
      <c r="D98" s="513">
        <v>0.125</v>
      </c>
      <c r="E98" s="525">
        <v>14.458912001564768</v>
      </c>
      <c r="F98" s="525">
        <v>2.7089120015647672</v>
      </c>
      <c r="G98" s="535"/>
      <c r="H98" s="535"/>
      <c r="I98" s="535"/>
    </row>
    <row r="99" spans="1:9" s="52" customFormat="1" ht="20.45" customHeight="1">
      <c r="A99" s="521"/>
      <c r="B99" s="523">
        <v>45301.604166666664</v>
      </c>
      <c r="C99" s="524">
        <v>240</v>
      </c>
      <c r="D99" s="513">
        <v>0.16666666666666666</v>
      </c>
      <c r="E99" s="525">
        <v>14.064508930718675</v>
      </c>
      <c r="F99" s="525">
        <v>2.314508930718675</v>
      </c>
      <c r="G99" s="535"/>
      <c r="H99" s="535"/>
      <c r="I99" s="535"/>
    </row>
    <row r="100" spans="1:9" s="52" customFormat="1" ht="20.45" customHeight="1">
      <c r="A100" s="521"/>
      <c r="B100" s="523" t="s">
        <v>21</v>
      </c>
      <c r="C100" s="524">
        <v>300</v>
      </c>
      <c r="D100" s="513">
        <v>0.20833333333333334</v>
      </c>
      <c r="E100" s="525">
        <v>13.727528833451265</v>
      </c>
      <c r="F100" s="525">
        <v>1.9775288334512644</v>
      </c>
      <c r="G100" s="535"/>
      <c r="H100" s="535"/>
      <c r="I100" s="535"/>
    </row>
    <row r="101" spans="1:9" s="52" customFormat="1" ht="20.45" customHeight="1">
      <c r="A101" s="521"/>
      <c r="B101" s="523">
        <v>45301.6875</v>
      </c>
      <c r="C101" s="524">
        <v>360</v>
      </c>
      <c r="D101" s="513">
        <v>0.25</v>
      </c>
      <c r="E101" s="525">
        <v>13.439611232529069</v>
      </c>
      <c r="F101" s="525">
        <v>1.6896112325290693</v>
      </c>
      <c r="G101" s="535"/>
      <c r="H101" s="535"/>
      <c r="I101" s="535"/>
    </row>
    <row r="102" spans="1:9" s="52" customFormat="1" ht="17.25" customHeight="1">
      <c r="G102" s="536"/>
      <c r="H102" s="536"/>
      <c r="I102" s="536"/>
    </row>
    <row r="103" spans="1:9" s="52" customFormat="1" ht="17.25" customHeight="1">
      <c r="G103" s="536"/>
      <c r="H103" s="536"/>
      <c r="I103" s="536"/>
    </row>
    <row r="104" spans="1:9" s="52" customFormat="1" ht="17.25" customHeight="1">
      <c r="G104" s="536"/>
      <c r="H104" s="536"/>
      <c r="I104" s="536"/>
    </row>
    <row r="105" spans="1:9" s="52" customFormat="1" ht="17.25" customHeight="1">
      <c r="G105" s="536"/>
      <c r="H105" s="536"/>
      <c r="I105" s="536"/>
    </row>
    <row r="106" spans="1:9" s="52" customFormat="1" ht="17.25" customHeight="1">
      <c r="G106" s="536"/>
      <c r="H106" s="536"/>
      <c r="I106" s="536"/>
    </row>
    <row r="107" spans="1:9" s="52" customFormat="1" ht="17.25" customHeight="1">
      <c r="G107" s="536"/>
      <c r="H107" s="536"/>
      <c r="I107" s="536"/>
    </row>
    <row r="108" spans="1:9" s="52" customFormat="1" ht="17.25" customHeight="1">
      <c r="G108" s="536"/>
      <c r="H108" s="536"/>
      <c r="I108" s="536"/>
    </row>
    <row r="109" spans="1:9" s="52" customFormat="1" ht="17.25" customHeight="1">
      <c r="G109" s="536"/>
      <c r="H109" s="536"/>
      <c r="I109" s="536"/>
    </row>
    <row r="110" spans="1:9" s="52" customFormat="1" ht="17.25" customHeight="1">
      <c r="G110" s="536"/>
      <c r="H110" s="536"/>
      <c r="I110" s="536"/>
    </row>
    <row r="111" spans="1:9" s="52" customFormat="1" ht="17.25" customHeight="1">
      <c r="G111" s="536"/>
      <c r="H111" s="536"/>
      <c r="I111" s="536"/>
    </row>
    <row r="112" spans="1:9" s="52" customFormat="1" ht="17.25" customHeight="1">
      <c r="G112" s="536"/>
      <c r="H112" s="536"/>
      <c r="I112" s="536"/>
    </row>
    <row r="113" spans="7:9" s="52" customFormat="1" ht="17.25" customHeight="1">
      <c r="G113" s="536"/>
      <c r="H113" s="536"/>
      <c r="I113" s="536"/>
    </row>
    <row r="114" spans="7:9" s="52" customFormat="1" ht="17.25" customHeight="1">
      <c r="G114" s="536"/>
      <c r="H114" s="536"/>
      <c r="I114" s="536"/>
    </row>
    <row r="115" spans="7:9" s="52" customFormat="1" ht="17.25" customHeight="1">
      <c r="G115" s="536"/>
      <c r="H115" s="536"/>
      <c r="I115" s="536"/>
    </row>
    <row r="116" spans="7:9" s="52" customFormat="1" ht="17.25" customHeight="1">
      <c r="G116" s="536"/>
      <c r="H116" s="536"/>
      <c r="I116" s="536"/>
    </row>
    <row r="117" spans="7:9" s="52" customFormat="1" ht="17.25" customHeight="1">
      <c r="G117" s="536"/>
      <c r="H117" s="536"/>
      <c r="I117" s="536"/>
    </row>
    <row r="118" spans="7:9" s="52" customFormat="1" ht="17.25" customHeight="1">
      <c r="G118" s="536"/>
      <c r="H118" s="536"/>
      <c r="I118" s="536"/>
    </row>
    <row r="119" spans="7:9" s="52" customFormat="1" ht="17.25" customHeight="1">
      <c r="G119" s="536"/>
      <c r="H119" s="536"/>
      <c r="I119" s="536"/>
    </row>
    <row r="120" spans="7:9" s="52" customFormat="1" ht="17.25" customHeight="1">
      <c r="G120" s="536"/>
      <c r="H120" s="536"/>
      <c r="I120" s="536"/>
    </row>
    <row r="121" spans="7:9" s="52" customFormat="1" ht="17.25" customHeight="1">
      <c r="G121" s="536"/>
      <c r="H121" s="536"/>
      <c r="I121" s="536"/>
    </row>
    <row r="122" spans="7:9" s="52" customFormat="1" ht="17.25" customHeight="1">
      <c r="G122" s="536"/>
      <c r="H122" s="536"/>
      <c r="I122" s="536"/>
    </row>
    <row r="123" spans="7:9" s="52" customFormat="1" ht="17.25" customHeight="1">
      <c r="G123" s="536"/>
      <c r="H123" s="536"/>
      <c r="I123" s="536"/>
    </row>
    <row r="124" spans="7:9" s="52" customFormat="1" ht="17.25" customHeight="1">
      <c r="G124" s="536"/>
      <c r="H124" s="536"/>
      <c r="I124" s="536"/>
    </row>
    <row r="125" spans="7:9" s="52" customFormat="1" ht="17.25" customHeight="1">
      <c r="G125" s="536"/>
      <c r="H125" s="536"/>
      <c r="I125" s="536"/>
    </row>
    <row r="126" spans="7:9" s="52" customFormat="1" ht="17.25" customHeight="1">
      <c r="G126" s="536"/>
      <c r="H126" s="536"/>
      <c r="I126" s="536"/>
    </row>
    <row r="127" spans="7:9" s="52" customFormat="1" ht="17.25" customHeight="1">
      <c r="G127" s="536"/>
      <c r="H127" s="536"/>
      <c r="I127" s="536"/>
    </row>
    <row r="128" spans="7:9" s="52" customFormat="1" ht="17.25" customHeight="1">
      <c r="G128" s="536"/>
      <c r="H128" s="536"/>
      <c r="I128" s="536"/>
    </row>
    <row r="129" spans="7:9" s="52" customFormat="1" ht="17.25" customHeight="1">
      <c r="G129" s="536"/>
      <c r="H129" s="536"/>
      <c r="I129" s="536"/>
    </row>
    <row r="130" spans="7:9" s="52" customFormat="1" ht="17.25" customHeight="1">
      <c r="G130" s="536"/>
      <c r="H130" s="536"/>
      <c r="I130" s="536"/>
    </row>
    <row r="131" spans="7:9" s="52" customFormat="1" ht="17.25" customHeight="1">
      <c r="G131" s="536"/>
      <c r="H131" s="536"/>
      <c r="I131" s="536"/>
    </row>
    <row r="132" spans="7:9" s="52" customFormat="1" ht="17.25" customHeight="1">
      <c r="G132" s="536"/>
      <c r="H132" s="536"/>
      <c r="I132" s="536"/>
    </row>
    <row r="133" spans="7:9" s="52" customFormat="1" ht="17.25" customHeight="1">
      <c r="G133" s="536"/>
      <c r="H133" s="536"/>
      <c r="I133" s="536"/>
    </row>
    <row r="134" spans="7:9" s="52" customFormat="1" ht="17.25" customHeight="1">
      <c r="G134" s="536"/>
      <c r="H134" s="536"/>
      <c r="I134" s="536"/>
    </row>
    <row r="135" spans="7:9" s="52" customFormat="1" ht="17.25" customHeight="1">
      <c r="G135" s="536"/>
      <c r="H135" s="536"/>
      <c r="I135" s="536"/>
    </row>
    <row r="136" spans="7:9" s="52" customFormat="1" ht="17.25" customHeight="1">
      <c r="G136" s="536"/>
      <c r="H136" s="536"/>
      <c r="I136" s="536"/>
    </row>
    <row r="137" spans="7:9" s="52" customFormat="1" ht="17.25" customHeight="1">
      <c r="G137" s="536"/>
      <c r="H137" s="536"/>
      <c r="I137" s="536"/>
    </row>
    <row r="138" spans="7:9" s="52" customFormat="1" ht="17.25" customHeight="1">
      <c r="G138" s="536"/>
      <c r="H138" s="536"/>
      <c r="I138" s="536"/>
    </row>
    <row r="139" spans="7:9" s="52" customFormat="1" ht="17.25" customHeight="1">
      <c r="G139" s="536"/>
      <c r="H139" s="536"/>
      <c r="I139" s="536"/>
    </row>
    <row r="140" spans="7:9" s="52" customFormat="1" ht="17.25" customHeight="1">
      <c r="G140" s="536"/>
      <c r="H140" s="536"/>
      <c r="I140" s="536"/>
    </row>
    <row r="141" spans="7:9" s="52" customFormat="1" ht="17.25" customHeight="1">
      <c r="G141" s="536"/>
      <c r="H141" s="536"/>
      <c r="I141" s="536"/>
    </row>
    <row r="142" spans="7:9" s="52" customFormat="1" ht="17.25" customHeight="1">
      <c r="G142" s="536"/>
      <c r="H142" s="536"/>
      <c r="I142" s="536"/>
    </row>
    <row r="143" spans="7:9" s="52" customFormat="1" ht="17.25" customHeight="1">
      <c r="G143" s="536"/>
      <c r="H143" s="536"/>
      <c r="I143" s="536"/>
    </row>
    <row r="144" spans="7:9" s="52" customFormat="1" ht="17.25" customHeight="1">
      <c r="G144" s="536"/>
      <c r="H144" s="536"/>
      <c r="I144" s="536"/>
    </row>
    <row r="145" spans="7:9" s="52" customFormat="1" ht="17.25" customHeight="1">
      <c r="G145" s="536"/>
      <c r="H145" s="536"/>
      <c r="I145" s="536"/>
    </row>
    <row r="146" spans="7:9" s="52" customFormat="1" ht="17.25" customHeight="1">
      <c r="G146" s="536"/>
      <c r="H146" s="536"/>
      <c r="I146" s="536"/>
    </row>
    <row r="147" spans="7:9" s="52" customFormat="1" ht="17.25" customHeight="1">
      <c r="G147" s="536"/>
      <c r="H147" s="536"/>
      <c r="I147" s="536"/>
    </row>
    <row r="148" spans="7:9" s="52" customFormat="1" ht="17.25" customHeight="1">
      <c r="G148" s="536"/>
      <c r="H148" s="536"/>
      <c r="I148" s="536"/>
    </row>
    <row r="149" spans="7:9" s="52" customFormat="1" ht="17.25" customHeight="1">
      <c r="G149" s="536"/>
      <c r="H149" s="536"/>
      <c r="I149" s="536"/>
    </row>
    <row r="150" spans="7:9" s="52" customFormat="1" ht="17.25" customHeight="1">
      <c r="G150" s="536"/>
      <c r="H150" s="536"/>
      <c r="I150" s="536"/>
    </row>
    <row r="151" spans="7:9" s="52" customFormat="1" ht="17.25" customHeight="1">
      <c r="G151" s="536"/>
      <c r="H151" s="536"/>
      <c r="I151" s="536"/>
    </row>
    <row r="152" spans="7:9" s="52" customFormat="1" ht="17.25" customHeight="1">
      <c r="G152" s="536"/>
      <c r="H152" s="536"/>
      <c r="I152" s="536"/>
    </row>
    <row r="153" spans="7:9" s="52" customFormat="1" ht="17.25" customHeight="1">
      <c r="G153" s="536"/>
      <c r="H153" s="536"/>
      <c r="I153" s="536"/>
    </row>
    <row r="154" spans="7:9" s="52" customFormat="1" ht="17.25" customHeight="1">
      <c r="G154" s="536"/>
      <c r="H154" s="536"/>
      <c r="I154" s="536"/>
    </row>
    <row r="155" spans="7:9" s="52" customFormat="1" ht="17.25" customHeight="1">
      <c r="G155" s="536"/>
      <c r="H155" s="536"/>
      <c r="I155" s="536"/>
    </row>
    <row r="156" spans="7:9" s="52" customFormat="1" ht="17.25" customHeight="1">
      <c r="G156" s="536"/>
      <c r="H156" s="536"/>
      <c r="I156" s="536"/>
    </row>
    <row r="157" spans="7:9" s="52" customFormat="1" ht="17.25" customHeight="1">
      <c r="G157" s="536"/>
      <c r="H157" s="536"/>
      <c r="I157" s="536"/>
    </row>
    <row r="158" spans="7:9" s="52" customFormat="1" ht="17.25" customHeight="1">
      <c r="G158" s="536"/>
      <c r="H158" s="536"/>
      <c r="I158" s="536"/>
    </row>
    <row r="159" spans="7:9" s="52" customFormat="1" ht="17.25" customHeight="1">
      <c r="G159" s="536"/>
      <c r="H159" s="536"/>
      <c r="I159" s="536"/>
    </row>
    <row r="160" spans="7:9" s="52" customFormat="1" ht="17.25" customHeight="1">
      <c r="G160" s="536"/>
      <c r="H160" s="536"/>
      <c r="I160" s="536"/>
    </row>
    <row r="161" spans="7:9" s="52" customFormat="1" ht="17.25" customHeight="1">
      <c r="G161" s="536"/>
      <c r="H161" s="536"/>
      <c r="I161" s="536"/>
    </row>
    <row r="162" spans="7:9" s="52" customFormat="1" ht="17.25" customHeight="1">
      <c r="G162" s="536"/>
      <c r="H162" s="536"/>
      <c r="I162" s="536"/>
    </row>
    <row r="163" spans="7:9" s="52" customFormat="1" ht="17.25" customHeight="1">
      <c r="G163" s="536"/>
      <c r="H163" s="536"/>
      <c r="I163" s="536"/>
    </row>
    <row r="164" spans="7:9" s="52" customFormat="1" ht="17.25" customHeight="1">
      <c r="G164" s="536"/>
      <c r="H164" s="536"/>
      <c r="I164" s="536"/>
    </row>
    <row r="165" spans="7:9" s="52" customFormat="1" ht="17.25" customHeight="1">
      <c r="G165" s="536"/>
      <c r="H165" s="536"/>
      <c r="I165" s="536"/>
    </row>
    <row r="166" spans="7:9" s="52" customFormat="1" ht="17.25" customHeight="1">
      <c r="G166" s="536"/>
      <c r="H166" s="536"/>
      <c r="I166" s="536"/>
    </row>
    <row r="167" spans="7:9" s="52" customFormat="1" ht="17.25" customHeight="1">
      <c r="G167" s="536"/>
      <c r="H167" s="536"/>
      <c r="I167" s="536"/>
    </row>
    <row r="168" spans="7:9" s="52" customFormat="1" ht="17.25" customHeight="1">
      <c r="G168" s="536"/>
      <c r="H168" s="536"/>
      <c r="I168" s="536"/>
    </row>
    <row r="169" spans="7:9" s="52" customFormat="1" ht="17.25" customHeight="1">
      <c r="G169" s="536"/>
      <c r="H169" s="536"/>
      <c r="I169" s="536"/>
    </row>
    <row r="170" spans="7:9" s="52" customFormat="1" ht="17.25" customHeight="1">
      <c r="G170" s="536"/>
      <c r="H170" s="536"/>
      <c r="I170" s="536"/>
    </row>
    <row r="171" spans="7:9" s="52" customFormat="1" ht="17.25" customHeight="1">
      <c r="G171" s="536"/>
      <c r="H171" s="536"/>
      <c r="I171" s="536"/>
    </row>
    <row r="172" spans="7:9" s="52" customFormat="1" ht="17.25" customHeight="1">
      <c r="G172" s="536"/>
      <c r="H172" s="536"/>
      <c r="I172" s="536"/>
    </row>
    <row r="173" spans="7:9" s="52" customFormat="1" ht="17.25" customHeight="1">
      <c r="G173" s="536"/>
      <c r="H173" s="536"/>
      <c r="I173" s="536"/>
    </row>
    <row r="174" spans="7:9" s="52" customFormat="1" ht="17.25" customHeight="1">
      <c r="G174" s="536"/>
      <c r="H174" s="536"/>
      <c r="I174" s="536"/>
    </row>
    <row r="175" spans="7:9" s="52" customFormat="1" ht="17.25" customHeight="1">
      <c r="G175" s="536"/>
      <c r="H175" s="536"/>
      <c r="I175" s="536"/>
    </row>
    <row r="176" spans="7:9" s="52" customFormat="1" ht="17.25" customHeight="1">
      <c r="G176" s="536"/>
      <c r="H176" s="536"/>
      <c r="I176" s="536"/>
    </row>
    <row r="177" spans="7:9" s="52" customFormat="1" ht="17.25" customHeight="1">
      <c r="G177" s="536"/>
      <c r="H177" s="536"/>
      <c r="I177" s="536"/>
    </row>
    <row r="178" spans="7:9" s="52" customFormat="1" ht="17.25" customHeight="1">
      <c r="G178" s="536"/>
      <c r="H178" s="536"/>
      <c r="I178" s="536"/>
    </row>
    <row r="179" spans="7:9" s="52" customFormat="1" ht="17.25" customHeight="1">
      <c r="G179" s="536"/>
      <c r="H179" s="536"/>
      <c r="I179" s="536"/>
    </row>
    <row r="180" spans="7:9" s="52" customFormat="1" ht="17.25" customHeight="1">
      <c r="G180" s="536"/>
      <c r="H180" s="536"/>
      <c r="I180" s="536"/>
    </row>
    <row r="181" spans="7:9" s="52" customFormat="1" ht="17.25" customHeight="1">
      <c r="G181" s="536"/>
      <c r="H181" s="536"/>
      <c r="I181" s="536"/>
    </row>
    <row r="182" spans="7:9" s="52" customFormat="1" ht="17.25" customHeight="1">
      <c r="G182" s="536"/>
      <c r="H182" s="536"/>
      <c r="I182" s="536"/>
    </row>
    <row r="183" spans="7:9" s="52" customFormat="1" ht="17.25" customHeight="1">
      <c r="G183" s="536"/>
      <c r="H183" s="536"/>
      <c r="I183" s="536"/>
    </row>
    <row r="184" spans="7:9" s="52" customFormat="1" ht="17.25" customHeight="1">
      <c r="G184" s="536"/>
      <c r="H184" s="536"/>
      <c r="I184" s="536"/>
    </row>
    <row r="185" spans="7:9" s="52" customFormat="1" ht="17.25" customHeight="1">
      <c r="G185" s="536"/>
      <c r="H185" s="536"/>
      <c r="I185" s="536"/>
    </row>
    <row r="186" spans="7:9" s="52" customFormat="1" ht="17.25" customHeight="1">
      <c r="G186" s="536"/>
      <c r="H186" s="536"/>
      <c r="I186" s="536"/>
    </row>
    <row r="187" spans="7:9" s="52" customFormat="1" ht="17.25" customHeight="1">
      <c r="G187" s="536"/>
      <c r="H187" s="536"/>
      <c r="I187" s="536"/>
    </row>
    <row r="188" spans="7:9" s="52" customFormat="1" ht="17.25" customHeight="1">
      <c r="G188" s="536"/>
      <c r="H188" s="536"/>
      <c r="I188" s="536"/>
    </row>
    <row r="189" spans="7:9" s="52" customFormat="1" ht="17.25" customHeight="1">
      <c r="G189" s="536"/>
      <c r="H189" s="536"/>
      <c r="I189" s="536"/>
    </row>
    <row r="190" spans="7:9" s="52" customFormat="1" ht="17.25" customHeight="1">
      <c r="G190" s="536"/>
      <c r="H190" s="536"/>
      <c r="I190" s="536"/>
    </row>
    <row r="191" spans="7:9" s="52" customFormat="1" ht="17.25" customHeight="1">
      <c r="G191" s="536"/>
      <c r="H191" s="536"/>
      <c r="I191" s="536"/>
    </row>
    <row r="192" spans="7:9" s="52" customFormat="1" ht="17.25" customHeight="1">
      <c r="G192" s="536"/>
      <c r="H192" s="536"/>
      <c r="I192" s="536"/>
    </row>
    <row r="193" spans="7:9" s="52" customFormat="1" ht="17.25" customHeight="1">
      <c r="G193" s="536"/>
      <c r="H193" s="536"/>
      <c r="I193" s="536"/>
    </row>
    <row r="194" spans="7:9" s="52" customFormat="1" ht="17.25" customHeight="1">
      <c r="G194" s="536"/>
      <c r="H194" s="536"/>
      <c r="I194" s="536"/>
    </row>
    <row r="195" spans="7:9" s="52" customFormat="1" ht="17.25" customHeight="1">
      <c r="G195" s="536"/>
      <c r="H195" s="536"/>
      <c r="I195" s="536"/>
    </row>
    <row r="196" spans="7:9" s="52" customFormat="1" ht="17.25" customHeight="1">
      <c r="G196" s="536"/>
      <c r="H196" s="536"/>
      <c r="I196" s="536"/>
    </row>
    <row r="197" spans="7:9" s="52" customFormat="1" ht="17.25" customHeight="1">
      <c r="G197" s="536"/>
      <c r="H197" s="536"/>
      <c r="I197" s="536"/>
    </row>
    <row r="198" spans="7:9" s="52" customFormat="1" ht="17.25" customHeight="1">
      <c r="G198" s="536"/>
      <c r="H198" s="536"/>
      <c r="I198" s="536"/>
    </row>
    <row r="199" spans="7:9" s="52" customFormat="1" ht="17.25" customHeight="1">
      <c r="G199" s="536"/>
      <c r="H199" s="536"/>
      <c r="I199" s="536"/>
    </row>
    <row r="200" spans="7:9" s="52" customFormat="1" ht="17.25" customHeight="1">
      <c r="G200" s="536"/>
      <c r="H200" s="536"/>
      <c r="I200" s="536"/>
    </row>
    <row r="201" spans="7:9" s="52" customFormat="1" ht="17.25" customHeight="1">
      <c r="G201" s="536"/>
      <c r="H201" s="536"/>
      <c r="I201" s="536"/>
    </row>
    <row r="202" spans="7:9" s="52" customFormat="1" ht="17.25" customHeight="1">
      <c r="G202" s="536"/>
      <c r="H202" s="536"/>
      <c r="I202" s="536"/>
    </row>
    <row r="203" spans="7:9" s="52" customFormat="1" ht="17.25" customHeight="1">
      <c r="G203" s="536"/>
      <c r="H203" s="536"/>
      <c r="I203" s="536"/>
    </row>
    <row r="204" spans="7:9" s="52" customFormat="1" ht="17.25" customHeight="1">
      <c r="G204" s="536"/>
      <c r="H204" s="536"/>
      <c r="I204" s="536"/>
    </row>
    <row r="205" spans="7:9" s="52" customFormat="1" ht="17.25" customHeight="1">
      <c r="G205" s="536"/>
      <c r="H205" s="536"/>
      <c r="I205" s="536"/>
    </row>
    <row r="206" spans="7:9" s="52" customFormat="1" ht="17.25" customHeight="1">
      <c r="G206" s="536"/>
      <c r="H206" s="536"/>
      <c r="I206" s="536"/>
    </row>
    <row r="207" spans="7:9" s="52" customFormat="1" ht="17.25" customHeight="1">
      <c r="G207" s="536"/>
      <c r="H207" s="536"/>
      <c r="I207" s="536"/>
    </row>
    <row r="208" spans="7:9" s="52" customFormat="1" ht="17.25" customHeight="1">
      <c r="G208" s="536"/>
      <c r="H208" s="536"/>
      <c r="I208" s="536"/>
    </row>
    <row r="209" spans="7:9" s="52" customFormat="1" ht="17.25" customHeight="1">
      <c r="G209" s="536"/>
      <c r="H209" s="536"/>
      <c r="I209" s="536"/>
    </row>
    <row r="210" spans="7:9" s="52" customFormat="1" ht="17.25" customHeight="1">
      <c r="G210" s="536"/>
      <c r="H210" s="536"/>
      <c r="I210" s="536"/>
    </row>
    <row r="211" spans="7:9" s="52" customFormat="1" ht="17.25" customHeight="1">
      <c r="G211" s="536"/>
      <c r="H211" s="536"/>
      <c r="I211" s="536"/>
    </row>
    <row r="212" spans="7:9" s="52" customFormat="1" ht="17.25" customHeight="1">
      <c r="G212" s="536"/>
      <c r="H212" s="536"/>
      <c r="I212" s="536"/>
    </row>
    <row r="213" spans="7:9" s="52" customFormat="1" ht="17.25" customHeight="1">
      <c r="G213" s="536"/>
      <c r="H213" s="536"/>
      <c r="I213" s="536"/>
    </row>
    <row r="214" spans="7:9" s="52" customFormat="1" ht="17.25" customHeight="1">
      <c r="G214" s="536"/>
      <c r="H214" s="536"/>
      <c r="I214" s="536"/>
    </row>
    <row r="215" spans="7:9" s="52" customFormat="1" ht="17.25" customHeight="1">
      <c r="G215" s="536"/>
      <c r="H215" s="536"/>
      <c r="I215" s="536"/>
    </row>
    <row r="216" spans="7:9" s="52" customFormat="1" ht="17.25" customHeight="1">
      <c r="G216" s="536"/>
      <c r="H216" s="536"/>
      <c r="I216" s="536"/>
    </row>
    <row r="217" spans="7:9" s="52" customFormat="1" ht="17.25" customHeight="1">
      <c r="G217" s="536"/>
      <c r="H217" s="536"/>
      <c r="I217" s="536"/>
    </row>
    <row r="218" spans="7:9" s="52" customFormat="1" ht="17.25" customHeight="1">
      <c r="G218" s="536"/>
      <c r="H218" s="536"/>
      <c r="I218" s="536"/>
    </row>
    <row r="219" spans="7:9" s="52" customFormat="1" ht="17.25" customHeight="1">
      <c r="G219" s="536"/>
      <c r="H219" s="536"/>
      <c r="I219" s="536"/>
    </row>
    <row r="220" spans="7:9" s="52" customFormat="1" ht="17.25" customHeight="1">
      <c r="G220" s="536"/>
      <c r="H220" s="536"/>
      <c r="I220" s="536"/>
    </row>
    <row r="221" spans="7:9" s="52" customFormat="1" ht="17.25" customHeight="1">
      <c r="G221" s="536"/>
      <c r="H221" s="536"/>
      <c r="I221" s="536"/>
    </row>
    <row r="222" spans="7:9" s="52" customFormat="1">
      <c r="G222" s="536"/>
      <c r="H222" s="536"/>
      <c r="I222" s="536"/>
    </row>
    <row r="223" spans="7:9" s="52" customFormat="1">
      <c r="G223" s="536"/>
      <c r="H223" s="536"/>
      <c r="I223" s="536"/>
    </row>
    <row r="224" spans="7:9" s="52" customFormat="1">
      <c r="G224" s="536"/>
      <c r="H224" s="536"/>
      <c r="I224" s="536"/>
    </row>
    <row r="225" spans="7:9" s="52" customFormat="1">
      <c r="G225" s="536"/>
      <c r="H225" s="536"/>
      <c r="I225" s="536"/>
    </row>
    <row r="226" spans="7:9" s="52" customFormat="1">
      <c r="G226" s="536"/>
      <c r="H226" s="536"/>
      <c r="I226" s="536"/>
    </row>
    <row r="227" spans="7:9" s="52" customFormat="1">
      <c r="G227" s="536"/>
      <c r="H227" s="536"/>
      <c r="I227" s="536"/>
    </row>
    <row r="228" spans="7:9" s="52" customFormat="1">
      <c r="G228" s="536"/>
      <c r="H228" s="536"/>
      <c r="I228" s="536"/>
    </row>
    <row r="229" spans="7:9" s="52" customFormat="1">
      <c r="G229" s="536"/>
      <c r="H229" s="536"/>
      <c r="I229" s="536"/>
    </row>
    <row r="230" spans="7:9" s="52" customFormat="1">
      <c r="G230" s="536"/>
      <c r="H230" s="536"/>
      <c r="I230" s="536"/>
    </row>
    <row r="231" spans="7:9" s="52" customFormat="1">
      <c r="G231" s="536"/>
      <c r="H231" s="536"/>
      <c r="I231" s="536"/>
    </row>
    <row r="232" spans="7:9" s="52" customFormat="1">
      <c r="G232" s="536"/>
      <c r="H232" s="536"/>
      <c r="I232" s="536"/>
    </row>
    <row r="233" spans="7:9" s="52" customFormat="1">
      <c r="G233" s="536"/>
      <c r="H233" s="536"/>
      <c r="I233" s="536"/>
    </row>
    <row r="234" spans="7:9" s="52" customFormat="1">
      <c r="G234" s="536"/>
      <c r="H234" s="536"/>
      <c r="I234" s="536"/>
    </row>
    <row r="235" spans="7:9" s="52" customFormat="1">
      <c r="G235" s="536"/>
      <c r="H235" s="536"/>
      <c r="I235" s="536"/>
    </row>
    <row r="236" spans="7:9" s="52" customFormat="1">
      <c r="G236" s="536"/>
      <c r="H236" s="536"/>
      <c r="I236" s="536"/>
    </row>
    <row r="237" spans="7:9" s="52" customFormat="1">
      <c r="G237" s="536"/>
      <c r="H237" s="536"/>
      <c r="I237" s="536"/>
    </row>
    <row r="238" spans="7:9" s="52" customFormat="1">
      <c r="G238" s="536"/>
      <c r="H238" s="536"/>
      <c r="I238" s="536"/>
    </row>
    <row r="239" spans="7:9" s="52" customFormat="1">
      <c r="G239" s="536"/>
      <c r="H239" s="536"/>
      <c r="I239" s="536"/>
    </row>
    <row r="240" spans="7:9" s="52" customFormat="1">
      <c r="G240" s="536"/>
      <c r="H240" s="536"/>
      <c r="I240" s="536"/>
    </row>
    <row r="241" spans="7:9" s="52" customFormat="1">
      <c r="G241" s="536"/>
      <c r="H241" s="536"/>
      <c r="I241" s="536"/>
    </row>
    <row r="242" spans="7:9" s="52" customFormat="1">
      <c r="G242" s="536"/>
      <c r="H242" s="536"/>
      <c r="I242" s="536"/>
    </row>
    <row r="243" spans="7:9" s="52" customFormat="1">
      <c r="G243" s="536"/>
      <c r="H243" s="536"/>
      <c r="I243" s="536"/>
    </row>
    <row r="244" spans="7:9" s="52" customFormat="1">
      <c r="G244" s="536"/>
      <c r="H244" s="536"/>
      <c r="I244" s="536"/>
    </row>
    <row r="245" spans="7:9" s="52" customFormat="1">
      <c r="G245" s="536"/>
      <c r="H245" s="536"/>
      <c r="I245" s="536"/>
    </row>
    <row r="246" spans="7:9" s="52" customFormat="1">
      <c r="G246" s="536"/>
      <c r="H246" s="536"/>
      <c r="I246" s="536"/>
    </row>
    <row r="247" spans="7:9" s="52" customFormat="1">
      <c r="G247" s="536"/>
      <c r="H247" s="536"/>
      <c r="I247" s="536"/>
    </row>
    <row r="248" spans="7:9" s="52" customFormat="1">
      <c r="G248" s="536"/>
      <c r="H248" s="536"/>
      <c r="I248" s="536"/>
    </row>
    <row r="249" spans="7:9" s="52" customFormat="1">
      <c r="G249" s="536"/>
      <c r="H249" s="536"/>
      <c r="I249" s="536"/>
    </row>
    <row r="250" spans="7:9" s="52" customFormat="1">
      <c r="G250" s="536"/>
      <c r="H250" s="536"/>
      <c r="I250" s="536"/>
    </row>
    <row r="251" spans="7:9" s="52" customFormat="1">
      <c r="G251" s="536"/>
      <c r="H251" s="536"/>
      <c r="I251" s="536"/>
    </row>
    <row r="252" spans="7:9" s="52" customFormat="1">
      <c r="G252" s="536"/>
      <c r="H252" s="536"/>
      <c r="I252" s="536"/>
    </row>
    <row r="253" spans="7:9" s="52" customFormat="1">
      <c r="G253" s="536"/>
      <c r="H253" s="536"/>
      <c r="I253" s="536"/>
    </row>
    <row r="254" spans="7:9" s="52" customFormat="1">
      <c r="G254" s="536"/>
      <c r="H254" s="536"/>
      <c r="I254" s="536"/>
    </row>
    <row r="255" spans="7:9" s="52" customFormat="1">
      <c r="G255" s="536"/>
      <c r="H255" s="536"/>
      <c r="I255" s="536"/>
    </row>
    <row r="256" spans="7:9" s="52" customFormat="1">
      <c r="G256" s="536"/>
      <c r="H256" s="536"/>
      <c r="I256" s="536"/>
    </row>
    <row r="257" spans="7:9" s="52" customFormat="1">
      <c r="G257" s="536"/>
      <c r="H257" s="536"/>
      <c r="I257" s="536"/>
    </row>
    <row r="258" spans="7:9" s="52" customFormat="1">
      <c r="G258" s="536"/>
      <c r="H258" s="536"/>
      <c r="I258" s="536"/>
    </row>
    <row r="259" spans="7:9" s="52" customFormat="1">
      <c r="G259" s="536"/>
      <c r="H259" s="536"/>
      <c r="I259" s="536"/>
    </row>
    <row r="260" spans="7:9" s="52" customFormat="1">
      <c r="G260" s="536"/>
      <c r="H260" s="536"/>
      <c r="I260" s="536"/>
    </row>
    <row r="261" spans="7:9" s="52" customFormat="1">
      <c r="G261" s="536"/>
      <c r="H261" s="536"/>
      <c r="I261" s="536"/>
    </row>
    <row r="262" spans="7:9" s="52" customFormat="1">
      <c r="G262" s="536"/>
      <c r="H262" s="536"/>
      <c r="I262" s="536"/>
    </row>
    <row r="263" spans="7:9" s="52" customFormat="1">
      <c r="G263" s="536"/>
      <c r="H263" s="536"/>
      <c r="I263" s="536"/>
    </row>
    <row r="264" spans="7:9" s="52" customFormat="1">
      <c r="G264" s="536"/>
      <c r="H264" s="536"/>
      <c r="I264" s="536"/>
    </row>
    <row r="265" spans="7:9" s="52" customFormat="1">
      <c r="G265" s="536"/>
      <c r="H265" s="536"/>
      <c r="I265" s="536"/>
    </row>
    <row r="266" spans="7:9" s="52" customFormat="1">
      <c r="G266" s="536"/>
      <c r="H266" s="536"/>
      <c r="I266" s="536"/>
    </row>
    <row r="267" spans="7:9" s="52" customFormat="1">
      <c r="G267" s="536"/>
      <c r="H267" s="536"/>
      <c r="I267" s="536"/>
    </row>
    <row r="268" spans="7:9" s="52" customFormat="1">
      <c r="G268" s="536"/>
      <c r="H268" s="536"/>
      <c r="I268" s="536"/>
    </row>
    <row r="269" spans="7:9" s="52" customFormat="1">
      <c r="G269" s="536"/>
      <c r="H269" s="536"/>
      <c r="I269" s="536"/>
    </row>
    <row r="270" spans="7:9" s="52" customFormat="1">
      <c r="G270" s="536"/>
      <c r="H270" s="536"/>
      <c r="I270" s="536"/>
    </row>
    <row r="271" spans="7:9" s="52" customFormat="1">
      <c r="G271" s="536"/>
      <c r="H271" s="536"/>
      <c r="I271" s="536"/>
    </row>
    <row r="272" spans="7:9" s="52" customFormat="1">
      <c r="G272" s="536"/>
      <c r="H272" s="536"/>
      <c r="I272" s="536"/>
    </row>
    <row r="273" spans="7:9" s="52" customFormat="1">
      <c r="G273" s="536"/>
      <c r="H273" s="536"/>
      <c r="I273" s="536"/>
    </row>
    <row r="274" spans="7:9" s="52" customFormat="1">
      <c r="G274" s="536"/>
      <c r="H274" s="536"/>
      <c r="I274" s="536"/>
    </row>
    <row r="275" spans="7:9" s="52" customFormat="1">
      <c r="G275" s="536"/>
      <c r="H275" s="536"/>
      <c r="I275" s="536"/>
    </row>
    <row r="276" spans="7:9" s="52" customFormat="1">
      <c r="G276" s="536"/>
      <c r="H276" s="536"/>
      <c r="I276" s="536"/>
    </row>
    <row r="277" spans="7:9" s="52" customFormat="1">
      <c r="G277" s="536"/>
      <c r="H277" s="536"/>
      <c r="I277" s="536"/>
    </row>
    <row r="278" spans="7:9" s="52" customFormat="1">
      <c r="G278" s="536"/>
      <c r="H278" s="536"/>
      <c r="I278" s="536"/>
    </row>
    <row r="279" spans="7:9" s="52" customFormat="1">
      <c r="G279" s="536"/>
      <c r="H279" s="536"/>
      <c r="I279" s="536"/>
    </row>
    <row r="280" spans="7:9" s="52" customFormat="1">
      <c r="G280" s="536"/>
      <c r="H280" s="536"/>
      <c r="I280" s="536"/>
    </row>
    <row r="281" spans="7:9" s="52" customFormat="1">
      <c r="G281" s="536"/>
      <c r="H281" s="536"/>
      <c r="I281" s="536"/>
    </row>
    <row r="282" spans="7:9" s="52" customFormat="1">
      <c r="G282" s="536"/>
      <c r="H282" s="536"/>
      <c r="I282" s="536"/>
    </row>
    <row r="283" spans="7:9" s="52" customFormat="1">
      <c r="G283" s="536"/>
      <c r="H283" s="536"/>
      <c r="I283" s="536"/>
    </row>
    <row r="284" spans="7:9" s="52" customFormat="1">
      <c r="G284" s="536"/>
      <c r="H284" s="536"/>
      <c r="I284" s="536"/>
    </row>
    <row r="285" spans="7:9" s="52" customFormat="1">
      <c r="G285" s="536"/>
      <c r="H285" s="536"/>
      <c r="I285" s="536"/>
    </row>
    <row r="286" spans="7:9" s="52" customFormat="1">
      <c r="G286" s="536"/>
      <c r="H286" s="536"/>
      <c r="I286" s="536"/>
    </row>
    <row r="287" spans="7:9" s="52" customFormat="1">
      <c r="G287" s="536"/>
      <c r="H287" s="536"/>
      <c r="I287" s="536"/>
    </row>
    <row r="288" spans="7:9" s="52" customFormat="1">
      <c r="G288" s="536"/>
      <c r="H288" s="536"/>
      <c r="I288" s="536"/>
    </row>
    <row r="289" spans="7:9" s="52" customFormat="1">
      <c r="G289" s="536"/>
      <c r="H289" s="536"/>
      <c r="I289" s="536"/>
    </row>
    <row r="290" spans="7:9" s="52" customFormat="1">
      <c r="G290" s="536"/>
      <c r="H290" s="536"/>
      <c r="I290" s="536"/>
    </row>
    <row r="291" spans="7:9" s="52" customFormat="1">
      <c r="G291" s="536"/>
      <c r="H291" s="536"/>
      <c r="I291" s="536"/>
    </row>
    <row r="292" spans="7:9" s="52" customFormat="1">
      <c r="G292" s="536"/>
      <c r="H292" s="536"/>
      <c r="I292" s="536"/>
    </row>
    <row r="293" spans="7:9" s="52" customFormat="1">
      <c r="G293" s="536"/>
      <c r="H293" s="536"/>
      <c r="I293" s="536"/>
    </row>
    <row r="294" spans="7:9" s="52" customFormat="1">
      <c r="G294" s="536"/>
      <c r="H294" s="536"/>
      <c r="I294" s="536"/>
    </row>
    <row r="295" spans="7:9" s="52" customFormat="1">
      <c r="G295" s="536"/>
      <c r="H295" s="536"/>
      <c r="I295" s="536"/>
    </row>
    <row r="296" spans="7:9" s="52" customFormat="1">
      <c r="G296" s="536"/>
      <c r="H296" s="536"/>
      <c r="I296" s="536"/>
    </row>
    <row r="297" spans="7:9" s="52" customFormat="1">
      <c r="G297" s="536"/>
      <c r="H297" s="536"/>
      <c r="I297" s="536"/>
    </row>
    <row r="298" spans="7:9" s="52" customFormat="1">
      <c r="G298" s="536"/>
      <c r="H298" s="536"/>
      <c r="I298" s="536"/>
    </row>
    <row r="299" spans="7:9" s="52" customFormat="1">
      <c r="G299" s="536"/>
      <c r="H299" s="536"/>
      <c r="I299" s="536"/>
    </row>
    <row r="300" spans="7:9" s="52" customFormat="1">
      <c r="G300" s="536"/>
      <c r="H300" s="536"/>
      <c r="I300" s="536"/>
    </row>
    <row r="301" spans="7:9" s="52" customFormat="1">
      <c r="G301" s="536"/>
      <c r="H301" s="536"/>
      <c r="I301" s="536"/>
    </row>
    <row r="302" spans="7:9" s="52" customFormat="1">
      <c r="G302" s="536"/>
      <c r="H302" s="536"/>
      <c r="I302" s="536"/>
    </row>
    <row r="303" spans="7:9" s="52" customFormat="1">
      <c r="G303" s="536"/>
      <c r="H303" s="536"/>
      <c r="I303" s="536"/>
    </row>
    <row r="304" spans="7:9" s="52" customFormat="1">
      <c r="G304" s="536"/>
      <c r="H304" s="536"/>
      <c r="I304" s="536"/>
    </row>
    <row r="305" spans="7:9" s="52" customFormat="1">
      <c r="G305" s="536"/>
      <c r="H305" s="536"/>
      <c r="I305" s="536"/>
    </row>
    <row r="306" spans="7:9" s="52" customFormat="1">
      <c r="G306" s="536"/>
      <c r="H306" s="536"/>
      <c r="I306" s="536"/>
    </row>
    <row r="307" spans="7:9" s="52" customFormat="1">
      <c r="G307" s="536"/>
      <c r="H307" s="536"/>
      <c r="I307" s="536"/>
    </row>
    <row r="308" spans="7:9" s="52" customFormat="1">
      <c r="G308" s="536"/>
      <c r="H308" s="536"/>
      <c r="I308" s="536"/>
    </row>
    <row r="309" spans="7:9" s="52" customFormat="1">
      <c r="G309" s="536"/>
      <c r="H309" s="536"/>
      <c r="I309" s="536"/>
    </row>
    <row r="310" spans="7:9" s="52" customFormat="1">
      <c r="G310" s="536"/>
      <c r="H310" s="536"/>
      <c r="I310" s="536"/>
    </row>
    <row r="311" spans="7:9" s="52" customFormat="1">
      <c r="G311" s="536"/>
      <c r="H311" s="536"/>
      <c r="I311" s="536"/>
    </row>
    <row r="312" spans="7:9" s="52" customFormat="1">
      <c r="G312" s="536"/>
      <c r="H312" s="536"/>
      <c r="I312" s="536"/>
    </row>
    <row r="313" spans="7:9" s="52" customFormat="1">
      <c r="G313" s="536"/>
      <c r="H313" s="536"/>
      <c r="I313" s="536"/>
    </row>
    <row r="314" spans="7:9" s="52" customFormat="1">
      <c r="G314" s="536"/>
      <c r="H314" s="536"/>
      <c r="I314" s="536"/>
    </row>
    <row r="315" spans="7:9" s="52" customFormat="1">
      <c r="G315" s="536"/>
      <c r="H315" s="536"/>
      <c r="I315" s="536"/>
    </row>
    <row r="316" spans="7:9" s="52" customFormat="1">
      <c r="G316" s="536"/>
      <c r="H316" s="536"/>
      <c r="I316" s="536"/>
    </row>
    <row r="317" spans="7:9" s="52" customFormat="1">
      <c r="G317" s="536"/>
      <c r="H317" s="536"/>
      <c r="I317" s="536"/>
    </row>
    <row r="318" spans="7:9" s="52" customFormat="1">
      <c r="G318" s="536"/>
      <c r="H318" s="536"/>
      <c r="I318" s="536"/>
    </row>
    <row r="319" spans="7:9" s="52" customFormat="1">
      <c r="G319" s="536"/>
      <c r="H319" s="536"/>
      <c r="I319" s="536"/>
    </row>
    <row r="320" spans="7:9" s="52" customFormat="1">
      <c r="G320" s="536"/>
      <c r="H320" s="536"/>
      <c r="I320" s="536"/>
    </row>
    <row r="321" spans="7:9" s="52" customFormat="1">
      <c r="G321" s="536"/>
      <c r="H321" s="536"/>
      <c r="I321" s="536"/>
    </row>
    <row r="322" spans="7:9" s="52" customFormat="1">
      <c r="G322" s="536"/>
      <c r="H322" s="536"/>
      <c r="I322" s="536"/>
    </row>
    <row r="323" spans="7:9" s="52" customFormat="1">
      <c r="G323" s="536"/>
      <c r="H323" s="536"/>
      <c r="I323" s="536"/>
    </row>
    <row r="324" spans="7:9" s="52" customFormat="1">
      <c r="G324" s="536"/>
      <c r="H324" s="536"/>
      <c r="I324" s="536"/>
    </row>
    <row r="325" spans="7:9" s="52" customFormat="1">
      <c r="G325" s="536"/>
      <c r="H325" s="536"/>
      <c r="I325" s="536"/>
    </row>
    <row r="326" spans="7:9" s="52" customFormat="1">
      <c r="G326" s="536"/>
      <c r="H326" s="536"/>
      <c r="I326" s="536"/>
    </row>
    <row r="327" spans="7:9" s="52" customFormat="1">
      <c r="G327" s="536"/>
      <c r="H327" s="536"/>
      <c r="I327" s="536"/>
    </row>
    <row r="328" spans="7:9" s="52" customFormat="1">
      <c r="G328" s="536"/>
      <c r="H328" s="536"/>
      <c r="I328" s="536"/>
    </row>
    <row r="329" spans="7:9" s="52" customFormat="1">
      <c r="G329" s="536"/>
      <c r="H329" s="536"/>
      <c r="I329" s="536"/>
    </row>
    <row r="330" spans="7:9" s="52" customFormat="1">
      <c r="G330" s="536"/>
      <c r="H330" s="536"/>
      <c r="I330" s="536"/>
    </row>
    <row r="331" spans="7:9" s="52" customFormat="1">
      <c r="G331" s="536"/>
      <c r="H331" s="536"/>
      <c r="I331" s="536"/>
    </row>
    <row r="332" spans="7:9" s="52" customFormat="1">
      <c r="G332" s="536"/>
      <c r="H332" s="536"/>
      <c r="I332" s="536"/>
    </row>
    <row r="333" spans="7:9" s="52" customFormat="1">
      <c r="G333" s="536"/>
      <c r="H333" s="536"/>
      <c r="I333" s="536"/>
    </row>
    <row r="334" spans="7:9" s="52" customFormat="1">
      <c r="G334" s="536"/>
      <c r="H334" s="536"/>
      <c r="I334" s="536"/>
    </row>
    <row r="335" spans="7:9" s="52" customFormat="1">
      <c r="G335" s="536"/>
      <c r="H335" s="536"/>
      <c r="I335" s="536"/>
    </row>
    <row r="336" spans="7:9" s="52" customFormat="1">
      <c r="G336" s="536"/>
      <c r="H336" s="536"/>
      <c r="I336" s="536"/>
    </row>
    <row r="337" spans="7:9" s="52" customFormat="1">
      <c r="G337" s="536"/>
      <c r="H337" s="536"/>
      <c r="I337" s="536"/>
    </row>
    <row r="338" spans="7:9" s="52" customFormat="1">
      <c r="G338" s="536"/>
      <c r="H338" s="536"/>
      <c r="I338" s="536"/>
    </row>
    <row r="339" spans="7:9" s="52" customFormat="1">
      <c r="G339" s="536"/>
      <c r="H339" s="536"/>
      <c r="I339" s="536"/>
    </row>
    <row r="340" spans="7:9" s="52" customFormat="1">
      <c r="G340" s="536"/>
      <c r="H340" s="536"/>
      <c r="I340" s="536"/>
    </row>
    <row r="341" spans="7:9" s="52" customFormat="1">
      <c r="G341" s="536"/>
      <c r="H341" s="536"/>
      <c r="I341" s="536"/>
    </row>
    <row r="342" spans="7:9" s="52" customFormat="1">
      <c r="G342" s="536"/>
      <c r="H342" s="536"/>
      <c r="I342" s="536"/>
    </row>
    <row r="343" spans="7:9" s="52" customFormat="1">
      <c r="G343" s="536"/>
      <c r="H343" s="536"/>
      <c r="I343" s="536"/>
    </row>
    <row r="344" spans="7:9" s="52" customFormat="1">
      <c r="G344" s="536"/>
      <c r="H344" s="536"/>
      <c r="I344" s="536"/>
    </row>
    <row r="345" spans="7:9" s="52" customFormat="1">
      <c r="G345" s="536"/>
      <c r="H345" s="536"/>
      <c r="I345" s="536"/>
    </row>
    <row r="346" spans="7:9" s="52" customFormat="1">
      <c r="G346" s="536"/>
      <c r="H346" s="536"/>
      <c r="I346" s="536"/>
    </row>
    <row r="347" spans="7:9" s="52" customFormat="1">
      <c r="G347" s="536"/>
      <c r="H347" s="536"/>
      <c r="I347" s="536"/>
    </row>
    <row r="348" spans="7:9" s="52" customFormat="1">
      <c r="G348" s="536"/>
      <c r="H348" s="536"/>
      <c r="I348" s="536"/>
    </row>
    <row r="349" spans="7:9" s="52" customFormat="1">
      <c r="G349" s="536"/>
      <c r="H349" s="536"/>
      <c r="I349" s="536"/>
    </row>
    <row r="350" spans="7:9" s="52" customFormat="1">
      <c r="G350" s="536"/>
      <c r="H350" s="536"/>
      <c r="I350" s="536"/>
    </row>
    <row r="351" spans="7:9" s="52" customFormat="1">
      <c r="G351" s="536"/>
      <c r="H351" s="536"/>
      <c r="I351" s="536"/>
    </row>
    <row r="352" spans="7:9" s="52" customFormat="1">
      <c r="G352" s="536"/>
      <c r="H352" s="536"/>
      <c r="I352" s="536"/>
    </row>
    <row r="353" spans="7:9" s="52" customFormat="1">
      <c r="G353" s="536"/>
      <c r="H353" s="536"/>
      <c r="I353" s="536"/>
    </row>
    <row r="354" spans="7:9" s="52" customFormat="1">
      <c r="G354" s="536"/>
      <c r="H354" s="536"/>
      <c r="I354" s="536"/>
    </row>
    <row r="355" spans="7:9" s="52" customFormat="1">
      <c r="G355" s="536"/>
      <c r="H355" s="536"/>
      <c r="I355" s="536"/>
    </row>
    <row r="356" spans="7:9" s="52" customFormat="1">
      <c r="G356" s="536"/>
      <c r="H356" s="536"/>
      <c r="I356" s="536"/>
    </row>
    <row r="357" spans="7:9" s="52" customFormat="1">
      <c r="G357" s="536"/>
      <c r="H357" s="536"/>
      <c r="I357" s="536"/>
    </row>
    <row r="358" spans="7:9" s="52" customFormat="1">
      <c r="G358" s="536"/>
      <c r="H358" s="536"/>
      <c r="I358" s="536"/>
    </row>
    <row r="359" spans="7:9" s="52" customFormat="1">
      <c r="G359" s="536"/>
      <c r="H359" s="536"/>
      <c r="I359" s="536"/>
    </row>
    <row r="360" spans="7:9" s="52" customFormat="1">
      <c r="G360" s="536"/>
      <c r="H360" s="536"/>
      <c r="I360" s="536"/>
    </row>
    <row r="361" spans="7:9" s="52" customFormat="1">
      <c r="G361" s="536"/>
      <c r="H361" s="536"/>
      <c r="I361" s="536"/>
    </row>
    <row r="362" spans="7:9" s="52" customFormat="1">
      <c r="G362" s="536"/>
      <c r="H362" s="536"/>
      <c r="I362" s="536"/>
    </row>
    <row r="363" spans="7:9" s="52" customFormat="1">
      <c r="G363" s="536"/>
      <c r="H363" s="536"/>
      <c r="I363" s="536"/>
    </row>
    <row r="364" spans="7:9" s="52" customFormat="1">
      <c r="G364" s="536"/>
      <c r="H364" s="536"/>
      <c r="I364" s="536"/>
    </row>
    <row r="365" spans="7:9" s="52" customFormat="1">
      <c r="G365" s="536"/>
      <c r="H365" s="536"/>
      <c r="I365" s="536"/>
    </row>
    <row r="366" spans="7:9" s="52" customFormat="1">
      <c r="G366" s="536"/>
      <c r="H366" s="536"/>
      <c r="I366" s="536"/>
    </row>
    <row r="367" spans="7:9" s="52" customFormat="1">
      <c r="G367" s="536"/>
      <c r="H367" s="536"/>
      <c r="I367" s="536"/>
    </row>
    <row r="368" spans="7:9" s="52" customFormat="1">
      <c r="G368" s="536"/>
      <c r="H368" s="536"/>
      <c r="I368" s="536"/>
    </row>
    <row r="369" spans="7:9" s="52" customFormat="1">
      <c r="G369" s="536"/>
      <c r="H369" s="536"/>
      <c r="I369" s="536"/>
    </row>
    <row r="370" spans="7:9" s="52" customFormat="1">
      <c r="G370" s="536"/>
      <c r="H370" s="536"/>
      <c r="I370" s="536"/>
    </row>
    <row r="371" spans="7:9" s="52" customFormat="1">
      <c r="G371" s="536"/>
      <c r="H371" s="536"/>
      <c r="I371" s="536"/>
    </row>
    <row r="372" spans="7:9" s="52" customFormat="1">
      <c r="G372" s="536"/>
      <c r="H372" s="536"/>
      <c r="I372" s="536"/>
    </row>
    <row r="373" spans="7:9" s="52" customFormat="1">
      <c r="G373" s="536"/>
      <c r="H373" s="536"/>
      <c r="I373" s="536"/>
    </row>
    <row r="374" spans="7:9" s="52" customFormat="1">
      <c r="G374" s="536"/>
      <c r="H374" s="536"/>
      <c r="I374" s="536"/>
    </row>
    <row r="375" spans="7:9" s="52" customFormat="1">
      <c r="G375" s="536"/>
      <c r="H375" s="536"/>
      <c r="I375" s="536"/>
    </row>
    <row r="376" spans="7:9" s="52" customFormat="1">
      <c r="G376" s="536"/>
      <c r="H376" s="536"/>
      <c r="I376" s="536"/>
    </row>
    <row r="377" spans="7:9" s="52" customFormat="1">
      <c r="G377" s="536"/>
      <c r="H377" s="536"/>
      <c r="I377" s="536"/>
    </row>
    <row r="378" spans="7:9" s="52" customFormat="1">
      <c r="G378" s="536"/>
      <c r="H378" s="536"/>
      <c r="I378" s="536"/>
    </row>
    <row r="379" spans="7:9" s="52" customFormat="1">
      <c r="G379" s="536"/>
      <c r="H379" s="536"/>
      <c r="I379" s="536"/>
    </row>
    <row r="380" spans="7:9" s="52" customFormat="1">
      <c r="G380" s="536"/>
      <c r="H380" s="536"/>
      <c r="I380" s="536"/>
    </row>
    <row r="381" spans="7:9" s="52" customFormat="1">
      <c r="G381" s="536"/>
      <c r="H381" s="536"/>
      <c r="I381" s="536"/>
    </row>
    <row r="382" spans="7:9" s="52" customFormat="1">
      <c r="G382" s="536"/>
      <c r="H382" s="536"/>
      <c r="I382" s="536"/>
    </row>
    <row r="383" spans="7:9" s="52" customFormat="1">
      <c r="G383" s="536"/>
      <c r="H383" s="536"/>
      <c r="I383" s="536"/>
    </row>
    <row r="384" spans="7:9" s="52" customFormat="1">
      <c r="G384" s="536"/>
      <c r="H384" s="536"/>
      <c r="I384" s="536"/>
    </row>
    <row r="385" spans="7:9" s="52" customFormat="1">
      <c r="G385" s="536"/>
      <c r="H385" s="536"/>
      <c r="I385" s="536"/>
    </row>
    <row r="386" spans="7:9" s="52" customFormat="1">
      <c r="G386" s="536"/>
      <c r="H386" s="536"/>
      <c r="I386" s="536"/>
    </row>
    <row r="387" spans="7:9" s="52" customFormat="1">
      <c r="G387" s="536"/>
      <c r="H387" s="536"/>
      <c r="I387" s="536"/>
    </row>
    <row r="388" spans="7:9" s="52" customFormat="1">
      <c r="G388" s="536"/>
      <c r="H388" s="536"/>
      <c r="I388" s="536"/>
    </row>
    <row r="389" spans="7:9" s="52" customFormat="1">
      <c r="G389" s="536"/>
      <c r="H389" s="536"/>
      <c r="I389" s="536"/>
    </row>
    <row r="390" spans="7:9" s="52" customFormat="1">
      <c r="G390" s="536"/>
      <c r="H390" s="536"/>
      <c r="I390" s="536"/>
    </row>
    <row r="391" spans="7:9" s="52" customFormat="1">
      <c r="G391" s="536"/>
      <c r="H391" s="536"/>
      <c r="I391" s="536"/>
    </row>
    <row r="392" spans="7:9" s="52" customFormat="1">
      <c r="G392" s="536"/>
      <c r="H392" s="536"/>
      <c r="I392" s="536"/>
    </row>
    <row r="393" spans="7:9" s="52" customFormat="1">
      <c r="G393" s="536"/>
      <c r="H393" s="536"/>
      <c r="I393" s="536"/>
    </row>
    <row r="394" spans="7:9" s="52" customFormat="1">
      <c r="G394" s="536"/>
      <c r="H394" s="536"/>
      <c r="I394" s="536"/>
    </row>
    <row r="395" spans="7:9" s="52" customFormat="1">
      <c r="G395" s="536"/>
      <c r="H395" s="536"/>
      <c r="I395" s="536"/>
    </row>
    <row r="396" spans="7:9" s="52" customFormat="1">
      <c r="G396" s="536"/>
      <c r="H396" s="536"/>
      <c r="I396" s="536"/>
    </row>
    <row r="397" spans="7:9" s="52" customFormat="1">
      <c r="G397" s="536"/>
      <c r="H397" s="536"/>
      <c r="I397" s="536"/>
    </row>
    <row r="398" spans="7:9" s="52" customFormat="1">
      <c r="G398" s="536"/>
      <c r="H398" s="536"/>
      <c r="I398" s="536"/>
    </row>
    <row r="399" spans="7:9" s="52" customFormat="1">
      <c r="G399" s="536"/>
      <c r="H399" s="536"/>
      <c r="I399" s="536"/>
    </row>
    <row r="400" spans="7:9" s="52" customFormat="1">
      <c r="G400" s="536"/>
      <c r="H400" s="536"/>
      <c r="I400" s="536"/>
    </row>
    <row r="401" spans="7:9" s="52" customFormat="1">
      <c r="G401" s="536"/>
      <c r="H401" s="536"/>
      <c r="I401" s="536"/>
    </row>
    <row r="402" spans="7:9" s="52" customFormat="1">
      <c r="G402" s="536"/>
      <c r="H402" s="536"/>
      <c r="I402" s="536"/>
    </row>
    <row r="403" spans="7:9" s="52" customFormat="1">
      <c r="G403" s="536"/>
      <c r="H403" s="536"/>
      <c r="I403" s="536"/>
    </row>
    <row r="404" spans="7:9" s="52" customFormat="1">
      <c r="G404" s="536"/>
      <c r="H404" s="536"/>
      <c r="I404" s="536"/>
    </row>
    <row r="405" spans="7:9" s="52" customFormat="1">
      <c r="G405" s="536"/>
      <c r="H405" s="536"/>
      <c r="I405" s="536"/>
    </row>
    <row r="406" spans="7:9" s="52" customFormat="1">
      <c r="G406" s="536"/>
      <c r="H406" s="536"/>
      <c r="I406" s="536"/>
    </row>
    <row r="407" spans="7:9" s="52" customFormat="1">
      <c r="G407" s="536"/>
      <c r="H407" s="536"/>
      <c r="I407" s="536"/>
    </row>
    <row r="408" spans="7:9" s="52" customFormat="1">
      <c r="G408" s="536"/>
      <c r="H408" s="536"/>
      <c r="I408" s="536"/>
    </row>
    <row r="409" spans="7:9" s="52" customFormat="1">
      <c r="G409" s="536"/>
      <c r="H409" s="536"/>
      <c r="I409" s="536"/>
    </row>
    <row r="410" spans="7:9" s="52" customFormat="1">
      <c r="G410" s="536"/>
      <c r="H410" s="536"/>
      <c r="I410" s="536"/>
    </row>
    <row r="411" spans="7:9" s="52" customFormat="1">
      <c r="G411" s="536"/>
      <c r="H411" s="536"/>
      <c r="I411" s="536"/>
    </row>
    <row r="412" spans="7:9" s="52" customFormat="1">
      <c r="G412" s="536"/>
      <c r="H412" s="536"/>
      <c r="I412" s="536"/>
    </row>
    <row r="413" spans="7:9" s="52" customFormat="1">
      <c r="G413" s="536"/>
      <c r="H413" s="536"/>
      <c r="I413" s="536"/>
    </row>
    <row r="414" spans="7:9" s="52" customFormat="1">
      <c r="G414" s="536"/>
      <c r="H414" s="536"/>
      <c r="I414" s="536"/>
    </row>
    <row r="415" spans="7:9" s="52" customFormat="1">
      <c r="G415" s="536"/>
      <c r="H415" s="536"/>
      <c r="I415" s="536"/>
    </row>
    <row r="416" spans="7:9" s="52" customFormat="1">
      <c r="G416" s="536"/>
      <c r="H416" s="536"/>
      <c r="I416" s="536"/>
    </row>
    <row r="417" spans="7:9" s="52" customFormat="1">
      <c r="G417" s="536"/>
      <c r="H417" s="536"/>
      <c r="I417" s="536"/>
    </row>
    <row r="418" spans="7:9" s="52" customFormat="1">
      <c r="G418" s="536"/>
      <c r="H418" s="536"/>
      <c r="I418" s="536"/>
    </row>
    <row r="419" spans="7:9" s="52" customFormat="1">
      <c r="G419" s="536"/>
      <c r="H419" s="536"/>
      <c r="I419" s="536"/>
    </row>
    <row r="420" spans="7:9" s="52" customFormat="1">
      <c r="G420" s="536"/>
      <c r="H420" s="536"/>
      <c r="I420" s="536"/>
    </row>
    <row r="421" spans="7:9" s="52" customFormat="1">
      <c r="G421" s="536"/>
      <c r="H421" s="536"/>
      <c r="I421" s="536"/>
    </row>
    <row r="422" spans="7:9" s="52" customFormat="1">
      <c r="G422" s="536"/>
      <c r="H422" s="536"/>
      <c r="I422" s="536"/>
    </row>
    <row r="423" spans="7:9" s="52" customFormat="1">
      <c r="G423" s="536"/>
      <c r="H423" s="536"/>
      <c r="I423" s="536"/>
    </row>
    <row r="424" spans="7:9" s="52" customFormat="1">
      <c r="G424" s="536"/>
      <c r="H424" s="536"/>
      <c r="I424" s="536"/>
    </row>
    <row r="425" spans="7:9" s="52" customFormat="1">
      <c r="G425" s="536"/>
      <c r="H425" s="536"/>
      <c r="I425" s="536"/>
    </row>
    <row r="426" spans="7:9" s="52" customFormat="1">
      <c r="G426" s="536"/>
      <c r="H426" s="536"/>
      <c r="I426" s="536"/>
    </row>
    <row r="427" spans="7:9" s="52" customFormat="1">
      <c r="G427" s="536"/>
      <c r="H427" s="536"/>
      <c r="I427" s="536"/>
    </row>
    <row r="428" spans="7:9" s="52" customFormat="1">
      <c r="G428" s="536"/>
      <c r="H428" s="536"/>
      <c r="I428" s="536"/>
    </row>
    <row r="429" spans="7:9" s="52" customFormat="1">
      <c r="G429" s="536"/>
      <c r="H429" s="536"/>
      <c r="I429" s="536"/>
    </row>
    <row r="430" spans="7:9" s="52" customFormat="1">
      <c r="G430" s="536"/>
      <c r="H430" s="536"/>
      <c r="I430" s="536"/>
    </row>
    <row r="431" spans="7:9" s="52" customFormat="1">
      <c r="G431" s="536"/>
      <c r="H431" s="536"/>
      <c r="I431" s="536"/>
    </row>
    <row r="432" spans="7:9" s="52" customFormat="1">
      <c r="G432" s="536"/>
      <c r="H432" s="536"/>
      <c r="I432" s="536"/>
    </row>
    <row r="433" spans="7:9" s="52" customFormat="1">
      <c r="G433" s="536"/>
      <c r="H433" s="536"/>
      <c r="I433" s="536"/>
    </row>
    <row r="434" spans="7:9" s="52" customFormat="1">
      <c r="G434" s="536"/>
      <c r="H434" s="536"/>
      <c r="I434" s="536"/>
    </row>
    <row r="435" spans="7:9" s="52" customFormat="1">
      <c r="G435" s="536"/>
      <c r="H435" s="536"/>
      <c r="I435" s="536"/>
    </row>
    <row r="436" spans="7:9" s="52" customFormat="1">
      <c r="G436" s="536"/>
      <c r="H436" s="536"/>
      <c r="I436" s="536"/>
    </row>
    <row r="437" spans="7:9" s="52" customFormat="1">
      <c r="G437" s="536"/>
      <c r="H437" s="536"/>
      <c r="I437" s="536"/>
    </row>
    <row r="438" spans="7:9" s="52" customFormat="1">
      <c r="G438" s="536"/>
      <c r="H438" s="536"/>
      <c r="I438" s="536"/>
    </row>
    <row r="439" spans="7:9" s="52" customFormat="1">
      <c r="G439" s="536"/>
      <c r="H439" s="536"/>
      <c r="I439" s="536"/>
    </row>
    <row r="440" spans="7:9" s="52" customFormat="1">
      <c r="G440" s="536"/>
      <c r="H440" s="536"/>
      <c r="I440" s="536"/>
    </row>
    <row r="441" spans="7:9" s="52" customFormat="1">
      <c r="G441" s="536"/>
      <c r="H441" s="536"/>
      <c r="I441" s="536"/>
    </row>
    <row r="442" spans="7:9" s="52" customFormat="1">
      <c r="G442" s="536"/>
      <c r="H442" s="536"/>
      <c r="I442" s="536"/>
    </row>
    <row r="443" spans="7:9" s="52" customFormat="1">
      <c r="G443" s="536"/>
      <c r="H443" s="536"/>
      <c r="I443" s="536"/>
    </row>
    <row r="444" spans="7:9" s="52" customFormat="1">
      <c r="G444" s="536"/>
      <c r="H444" s="536"/>
      <c r="I444" s="536"/>
    </row>
    <row r="445" spans="7:9" s="52" customFormat="1">
      <c r="G445" s="536"/>
      <c r="H445" s="536"/>
      <c r="I445" s="536"/>
    </row>
    <row r="446" spans="7:9" s="52" customFormat="1">
      <c r="G446" s="536"/>
      <c r="H446" s="536"/>
      <c r="I446" s="536"/>
    </row>
    <row r="447" spans="7:9" s="52" customFormat="1">
      <c r="G447" s="536"/>
      <c r="H447" s="536"/>
      <c r="I447" s="536"/>
    </row>
    <row r="448" spans="7:9" s="52" customFormat="1">
      <c r="G448" s="536"/>
      <c r="H448" s="536"/>
      <c r="I448" s="536"/>
    </row>
    <row r="449" spans="1:9" s="52" customFormat="1">
      <c r="G449" s="536"/>
      <c r="H449" s="536"/>
      <c r="I449" s="536"/>
    </row>
    <row r="450" spans="1:9" s="52" customFormat="1">
      <c r="G450" s="536"/>
      <c r="H450" s="536"/>
      <c r="I450" s="536"/>
    </row>
    <row r="451" spans="1:9" s="52" customFormat="1">
      <c r="G451" s="536"/>
      <c r="H451" s="536"/>
      <c r="I451" s="536"/>
    </row>
    <row r="452" spans="1:9" s="52" customFormat="1">
      <c r="G452" s="536"/>
      <c r="H452" s="536"/>
      <c r="I452" s="536"/>
    </row>
    <row r="453" spans="1:9" s="52" customFormat="1">
      <c r="G453" s="536"/>
      <c r="H453" s="536"/>
      <c r="I453" s="536"/>
    </row>
    <row r="454" spans="1:9" s="52" customFormat="1">
      <c r="G454" s="536"/>
      <c r="H454" s="536"/>
      <c r="I454" s="536"/>
    </row>
    <row r="455" spans="1:9" s="52" customFormat="1">
      <c r="G455" s="536"/>
      <c r="H455" s="536"/>
      <c r="I455" s="536"/>
    </row>
    <row r="456" spans="1:9" s="52" customFormat="1">
      <c r="G456" s="536"/>
      <c r="H456" s="536"/>
      <c r="I456" s="536"/>
    </row>
    <row r="457" spans="1:9">
      <c r="A457" s="52"/>
      <c r="B457" s="52"/>
      <c r="C457" s="52"/>
      <c r="D457" s="52"/>
      <c r="E457" s="52"/>
      <c r="F457" s="52"/>
      <c r="G457" s="536"/>
      <c r="H457" s="536"/>
      <c r="I457" s="536"/>
    </row>
    <row r="458" spans="1:9">
      <c r="A458" s="52"/>
      <c r="B458" s="52"/>
      <c r="C458" s="52"/>
      <c r="D458" s="52"/>
      <c r="E458" s="52"/>
      <c r="F458" s="52"/>
      <c r="G458" s="536"/>
      <c r="H458" s="536"/>
      <c r="I458" s="536"/>
    </row>
    <row r="459" spans="1:9">
      <c r="A459" s="52"/>
      <c r="B459" s="52"/>
      <c r="C459" s="52"/>
      <c r="D459" s="52"/>
      <c r="E459" s="52"/>
      <c r="F459" s="52"/>
      <c r="G459" s="536"/>
      <c r="H459" s="536"/>
      <c r="I459" s="536"/>
    </row>
    <row r="460" spans="1:9">
      <c r="I460" s="537"/>
    </row>
    <row r="461" spans="1:9">
      <c r="I461" s="537"/>
    </row>
    <row r="462" spans="1:9">
      <c r="I462" s="537"/>
    </row>
    <row r="463" spans="1:9">
      <c r="I463" s="537"/>
    </row>
    <row r="464" spans="1:9">
      <c r="I464" s="537"/>
    </row>
    <row r="465" spans="9:9">
      <c r="I465" s="537"/>
    </row>
    <row r="466" spans="9:9">
      <c r="I466" s="537"/>
    </row>
    <row r="467" spans="9:9">
      <c r="I467" s="537"/>
    </row>
    <row r="468" spans="9:9">
      <c r="I468" s="537"/>
    </row>
    <row r="469" spans="9:9">
      <c r="I469" s="537"/>
    </row>
    <row r="470" spans="9:9">
      <c r="I470" s="537"/>
    </row>
    <row r="471" spans="9:9">
      <c r="I471" s="537"/>
    </row>
    <row r="472" spans="9:9">
      <c r="I472" s="537"/>
    </row>
    <row r="473" spans="9:9">
      <c r="I473" s="537"/>
    </row>
    <row r="474" spans="9:9">
      <c r="I474" s="537"/>
    </row>
    <row r="475" spans="9:9">
      <c r="I475" s="537"/>
    </row>
    <row r="476" spans="9:9">
      <c r="I476" s="537"/>
    </row>
    <row r="477" spans="9:9">
      <c r="I477" s="537"/>
    </row>
    <row r="478" spans="9:9">
      <c r="I478" s="537"/>
    </row>
    <row r="479" spans="9:9">
      <c r="I479" s="537"/>
    </row>
    <row r="480" spans="9:9">
      <c r="I480" s="537"/>
    </row>
    <row r="481" spans="9:9">
      <c r="I481" s="537"/>
    </row>
    <row r="482" spans="9:9">
      <c r="I482" s="537"/>
    </row>
    <row r="483" spans="9:9">
      <c r="I483" s="537"/>
    </row>
    <row r="484" spans="9:9">
      <c r="I484" s="537"/>
    </row>
    <row r="485" spans="9:9">
      <c r="I485" s="537"/>
    </row>
    <row r="486" spans="9:9">
      <c r="I486" s="537"/>
    </row>
    <row r="487" spans="9:9">
      <c r="I487" s="537"/>
    </row>
    <row r="488" spans="9:9">
      <c r="I488" s="537"/>
    </row>
    <row r="489" spans="9:9">
      <c r="I489" s="537"/>
    </row>
    <row r="490" spans="9:9">
      <c r="I490" s="537"/>
    </row>
    <row r="491" spans="9:9">
      <c r="I491" s="537"/>
    </row>
    <row r="492" spans="9:9">
      <c r="I492" s="537"/>
    </row>
    <row r="493" spans="9:9">
      <c r="I493" s="537"/>
    </row>
    <row r="494" spans="9:9">
      <c r="I494" s="537"/>
    </row>
    <row r="495" spans="9:9">
      <c r="I495" s="537"/>
    </row>
    <row r="496" spans="9:9">
      <c r="I496" s="537"/>
    </row>
    <row r="497" spans="9:9">
      <c r="I497" s="537"/>
    </row>
    <row r="498" spans="9:9">
      <c r="I498" s="537"/>
    </row>
    <row r="499" spans="9:9">
      <c r="I499" s="537"/>
    </row>
    <row r="500" spans="9:9">
      <c r="I500" s="537"/>
    </row>
    <row r="501" spans="9:9">
      <c r="I501" s="537"/>
    </row>
    <row r="502" spans="9:9">
      <c r="I502" s="537"/>
    </row>
    <row r="503" spans="9:9">
      <c r="I503" s="537"/>
    </row>
    <row r="504" spans="9:9">
      <c r="I504" s="537"/>
    </row>
    <row r="505" spans="9:9">
      <c r="I505" s="537"/>
    </row>
    <row r="506" spans="9:9">
      <c r="I506" s="537"/>
    </row>
    <row r="507" spans="9:9">
      <c r="I507" s="537"/>
    </row>
    <row r="508" spans="9:9">
      <c r="I508" s="537"/>
    </row>
    <row r="509" spans="9:9">
      <c r="I509" s="537"/>
    </row>
    <row r="510" spans="9:9">
      <c r="I510" s="537"/>
    </row>
    <row r="511" spans="9:9">
      <c r="I511" s="537"/>
    </row>
    <row r="512" spans="9:9">
      <c r="I512" s="537"/>
    </row>
    <row r="513" spans="9:9">
      <c r="I513" s="537"/>
    </row>
    <row r="514" spans="9:9">
      <c r="I514" s="537"/>
    </row>
    <row r="515" spans="9:9">
      <c r="I515" s="537"/>
    </row>
    <row r="516" spans="9:9">
      <c r="I516" s="537"/>
    </row>
    <row r="517" spans="9:9">
      <c r="I517" s="537"/>
    </row>
    <row r="518" spans="9:9">
      <c r="I518" s="537"/>
    </row>
    <row r="519" spans="9:9">
      <c r="I519" s="537"/>
    </row>
    <row r="520" spans="9:9">
      <c r="I520" s="537"/>
    </row>
    <row r="521" spans="9:9">
      <c r="I521" s="537"/>
    </row>
    <row r="522" spans="9:9">
      <c r="I522" s="537"/>
    </row>
    <row r="523" spans="9:9">
      <c r="I523" s="537"/>
    </row>
    <row r="524" spans="9:9">
      <c r="I524" s="537"/>
    </row>
    <row r="525" spans="9:9">
      <c r="I525" s="537"/>
    </row>
    <row r="526" spans="9:9">
      <c r="I526" s="537"/>
    </row>
    <row r="527" spans="9:9">
      <c r="I527" s="537"/>
    </row>
    <row r="528" spans="9:9">
      <c r="I528" s="537"/>
    </row>
    <row r="529" spans="9:9">
      <c r="I529" s="537"/>
    </row>
    <row r="530" spans="9:9">
      <c r="I530" s="537"/>
    </row>
    <row r="531" spans="9:9">
      <c r="I531" s="537"/>
    </row>
    <row r="532" spans="9:9">
      <c r="I532" s="537"/>
    </row>
    <row r="533" spans="9:9">
      <c r="I533" s="537"/>
    </row>
    <row r="534" spans="9:9">
      <c r="I534" s="537"/>
    </row>
    <row r="535" spans="9:9">
      <c r="I535" s="537"/>
    </row>
    <row r="536" spans="9:9">
      <c r="I536" s="537"/>
    </row>
    <row r="537" spans="9:9">
      <c r="I537" s="537"/>
    </row>
    <row r="538" spans="9:9">
      <c r="I538" s="537"/>
    </row>
    <row r="539" spans="9:9">
      <c r="I539" s="537"/>
    </row>
    <row r="540" spans="9:9">
      <c r="I540" s="537"/>
    </row>
    <row r="541" spans="9:9">
      <c r="I541" s="537"/>
    </row>
    <row r="542" spans="9:9">
      <c r="I542" s="537"/>
    </row>
    <row r="543" spans="9:9">
      <c r="I543" s="537"/>
    </row>
    <row r="544" spans="9:9">
      <c r="I544" s="537"/>
    </row>
    <row r="545" spans="9:9">
      <c r="I545" s="537"/>
    </row>
    <row r="546" spans="9:9">
      <c r="I546" s="537"/>
    </row>
    <row r="547" spans="9:9">
      <c r="I547" s="537"/>
    </row>
    <row r="548" spans="9:9">
      <c r="I548" s="537"/>
    </row>
    <row r="549" spans="9:9">
      <c r="I549" s="537"/>
    </row>
    <row r="550" spans="9:9">
      <c r="I550" s="537"/>
    </row>
    <row r="551" spans="9:9">
      <c r="I551" s="537"/>
    </row>
    <row r="552" spans="9:9">
      <c r="I552" s="537"/>
    </row>
    <row r="553" spans="9:9">
      <c r="I553" s="537"/>
    </row>
    <row r="554" spans="9:9">
      <c r="I554" s="537"/>
    </row>
    <row r="555" spans="9:9">
      <c r="I555" s="537"/>
    </row>
    <row r="556" spans="9:9">
      <c r="I556" s="537"/>
    </row>
    <row r="557" spans="9:9">
      <c r="I557" s="537"/>
    </row>
    <row r="558" spans="9:9">
      <c r="I558" s="537"/>
    </row>
    <row r="559" spans="9:9">
      <c r="I559" s="537"/>
    </row>
    <row r="560" spans="9:9">
      <c r="I560" s="537"/>
    </row>
    <row r="561" spans="9:9">
      <c r="I561" s="537"/>
    </row>
    <row r="562" spans="9:9">
      <c r="I562" s="537"/>
    </row>
    <row r="563" spans="9:9">
      <c r="I563" s="537"/>
    </row>
    <row r="564" spans="9:9">
      <c r="I564" s="537"/>
    </row>
    <row r="565" spans="9:9">
      <c r="I565" s="537"/>
    </row>
    <row r="566" spans="9:9">
      <c r="I566" s="537"/>
    </row>
    <row r="567" spans="9:9">
      <c r="I567" s="537"/>
    </row>
    <row r="568" spans="9:9">
      <c r="I568" s="537"/>
    </row>
    <row r="569" spans="9:9">
      <c r="I569" s="537"/>
    </row>
    <row r="570" spans="9:9">
      <c r="I570" s="537"/>
    </row>
    <row r="571" spans="9:9">
      <c r="I571" s="537"/>
    </row>
    <row r="572" spans="9:9">
      <c r="I572" s="537"/>
    </row>
    <row r="573" spans="9:9">
      <c r="I573" s="537"/>
    </row>
    <row r="574" spans="9:9">
      <c r="I574" s="537"/>
    </row>
    <row r="575" spans="9:9">
      <c r="I575" s="537"/>
    </row>
    <row r="576" spans="9:9">
      <c r="I576" s="537"/>
    </row>
    <row r="577" spans="9:9">
      <c r="I577" s="537"/>
    </row>
    <row r="578" spans="9:9">
      <c r="I578" s="537"/>
    </row>
    <row r="579" spans="9:9">
      <c r="I579" s="537"/>
    </row>
    <row r="580" spans="9:9">
      <c r="I580" s="537"/>
    </row>
    <row r="581" spans="9:9">
      <c r="I581" s="537"/>
    </row>
    <row r="582" spans="9:9">
      <c r="I582" s="537"/>
    </row>
    <row r="583" spans="9:9">
      <c r="I583" s="537"/>
    </row>
    <row r="584" spans="9:9">
      <c r="I584" s="537"/>
    </row>
    <row r="585" spans="9:9">
      <c r="I585" s="537"/>
    </row>
    <row r="586" spans="9:9">
      <c r="I586" s="537"/>
    </row>
    <row r="587" spans="9:9">
      <c r="I587" s="537"/>
    </row>
  </sheetData>
  <dataConsolidate/>
  <mergeCells count="26">
    <mergeCell ref="G99:I99"/>
    <mergeCell ref="G100:I100"/>
    <mergeCell ref="G101:I101"/>
    <mergeCell ref="G93:I93"/>
    <mergeCell ref="G94:I94"/>
    <mergeCell ref="G95:I95"/>
    <mergeCell ref="G96:I96"/>
    <mergeCell ref="G97:I97"/>
    <mergeCell ref="G98:I98"/>
    <mergeCell ref="G87:I87"/>
    <mergeCell ref="G88:I88"/>
    <mergeCell ref="G89:I89"/>
    <mergeCell ref="G90:I90"/>
    <mergeCell ref="G91:I91"/>
    <mergeCell ref="G92:I92"/>
    <mergeCell ref="G81:I81"/>
    <mergeCell ref="G82:I82"/>
    <mergeCell ref="G83:I83"/>
    <mergeCell ref="G84:I84"/>
    <mergeCell ref="G85:I85"/>
    <mergeCell ref="G86:I86"/>
    <mergeCell ref="B6:D6"/>
    <mergeCell ref="C9:D9"/>
    <mergeCell ref="G78:I78"/>
    <mergeCell ref="G79:I79"/>
    <mergeCell ref="G80:I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8" man="1"/>
    <brk id="55" max="8" man="1"/>
    <brk id="77" max="8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21</vt:i4>
      </vt:variant>
    </vt:vector>
  </HeadingPairs>
  <TitlesOfParts>
    <vt:vector size="34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Step</vt:lpstr>
      <vt:lpstr>out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out!Print_Area</vt:lpstr>
      <vt:lpstr>Step!Print_Area</vt:lpstr>
      <vt:lpstr>StepTest!Print_Area</vt:lpstr>
      <vt:lpstr>LongTest!Print_Titles</vt:lpstr>
      <vt:lpstr>out!Print_Titles</vt:lpstr>
      <vt:lpstr>Step!Print_Titles</vt:lpstr>
      <vt:lpstr>StepTest!Print_Titles</vt:lpstr>
      <vt:lpstr>pump_hp</vt:lpstr>
      <vt:lpstr>well_radius</vt:lpstr>
      <vt:lpstr>Step!단계양수</vt:lpstr>
      <vt:lpstr>단계양수</vt:lpstr>
      <vt:lpstr>out!장기양수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2024-02-27T03:09:50Z</cp:lastPrinted>
  <dcterms:created xsi:type="dcterms:W3CDTF">2022-01-08T04:40:11Z</dcterms:created>
  <dcterms:modified xsi:type="dcterms:W3CDTF">2024-02-27T03:51:07Z</dcterms:modified>
</cp:coreProperties>
</file>